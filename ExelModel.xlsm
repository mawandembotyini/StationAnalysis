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filterPrivacy="1" codeName="ThisWorkbook" defaultThemeVersion="124226"/>
  <xr:revisionPtr revIDLastSave="0" documentId="8_{2FD4034A-98B7-4889-80E3-FF82C183E9D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tation Performance" sheetId="7" r:id="rId1"/>
    <sheet name="Calculations" sheetId="1" r:id="rId2"/>
    <sheet name="Desludging - operator inputs" sheetId="9" r:id="rId3"/>
    <sheet name="Flowrates" sheetId="4" r:id="rId4"/>
    <sheet name="Lime feed" sheetId="3" r:id="rId5"/>
    <sheet name="Lime dose" sheetId="6" r:id="rId6"/>
    <sheet name="Jar test" sheetId="5" r:id="rId7"/>
    <sheet name="Desulging info" sheetId="2" r:id="rId8"/>
    <sheet name="Sheet1" sheetId="8" r:id="rId9"/>
  </sheets>
  <definedNames>
    <definedName name="solver_adj" localSheetId="1" hidden="1">Calculations!$B$29</definedName>
    <definedName name="solver_adj" localSheetId="2" hidden="1">'Desludging - operator inputs'!#REF!</definedName>
    <definedName name="solver_adj" localSheetId="7" hidden="1">'Desulging info'!$B$7</definedName>
    <definedName name="solver_cvg" localSheetId="1" hidden="1">0.0001</definedName>
    <definedName name="solver_cvg" localSheetId="2" hidden="1">0.0001</definedName>
    <definedName name="solver_cvg" localSheetId="7" hidden="1">0.0001</definedName>
    <definedName name="solver_drv" localSheetId="1" hidden="1">1</definedName>
    <definedName name="solver_drv" localSheetId="2" hidden="1">1</definedName>
    <definedName name="solver_drv" localSheetId="7" hidden="1">1</definedName>
    <definedName name="solver_eng" localSheetId="1" hidden="1">1</definedName>
    <definedName name="solver_eng" localSheetId="2" hidden="1">1</definedName>
    <definedName name="solver_eng" localSheetId="7" hidden="1">1</definedName>
    <definedName name="solver_est" localSheetId="1" hidden="1">1</definedName>
    <definedName name="solver_est" localSheetId="2" hidden="1">1</definedName>
    <definedName name="solver_est" localSheetId="7" hidden="1">1</definedName>
    <definedName name="solver_itr" localSheetId="1" hidden="1">2147483647</definedName>
    <definedName name="solver_itr" localSheetId="2" hidden="1">2147483647</definedName>
    <definedName name="solver_itr" localSheetId="7" hidden="1">2147483647</definedName>
    <definedName name="solver_mip" localSheetId="1" hidden="1">2147483647</definedName>
    <definedName name="solver_mip" localSheetId="2" hidden="1">2147483647</definedName>
    <definedName name="solver_mip" localSheetId="7" hidden="1">2147483647</definedName>
    <definedName name="solver_mni" localSheetId="1" hidden="1">30</definedName>
    <definedName name="solver_mni" localSheetId="2" hidden="1">30</definedName>
    <definedName name="solver_mni" localSheetId="7" hidden="1">30</definedName>
    <definedName name="solver_mrt" localSheetId="1" hidden="1">0.075</definedName>
    <definedName name="solver_mrt" localSheetId="2" hidden="1">0.075</definedName>
    <definedName name="solver_mrt" localSheetId="7" hidden="1">0.075</definedName>
    <definedName name="solver_msl" localSheetId="1" hidden="1">2</definedName>
    <definedName name="solver_msl" localSheetId="2" hidden="1">2</definedName>
    <definedName name="solver_msl" localSheetId="7" hidden="1">2</definedName>
    <definedName name="solver_neg" localSheetId="1" hidden="1">1</definedName>
    <definedName name="solver_neg" localSheetId="2" hidden="1">1</definedName>
    <definedName name="solver_neg" localSheetId="7" hidden="1">1</definedName>
    <definedName name="solver_nod" localSheetId="1" hidden="1">2147483647</definedName>
    <definedName name="solver_nod" localSheetId="2" hidden="1">2147483647</definedName>
    <definedName name="solver_nod" localSheetId="7" hidden="1">2147483647</definedName>
    <definedName name="solver_num" localSheetId="1" hidden="1">0</definedName>
    <definedName name="solver_num" localSheetId="2" hidden="1">0</definedName>
    <definedName name="solver_num" localSheetId="7" hidden="1">0</definedName>
    <definedName name="solver_nwt" localSheetId="1" hidden="1">1</definedName>
    <definedName name="solver_nwt" localSheetId="2" hidden="1">1</definedName>
    <definedName name="solver_nwt" localSheetId="7" hidden="1">1</definedName>
    <definedName name="solver_opt" localSheetId="1" hidden="1">Calculations!$B$31</definedName>
    <definedName name="solver_opt" localSheetId="2" hidden="1">'Desludging - operator inputs'!#REF!</definedName>
    <definedName name="solver_opt" localSheetId="7" hidden="1">'Desulging info'!#REF!</definedName>
    <definedName name="solver_pre" localSheetId="1" hidden="1">0.000001</definedName>
    <definedName name="solver_pre" localSheetId="2" hidden="1">0.000001</definedName>
    <definedName name="solver_pre" localSheetId="7" hidden="1">0.000001</definedName>
    <definedName name="solver_rbv" localSheetId="1" hidden="1">1</definedName>
    <definedName name="solver_rbv" localSheetId="2" hidden="1">1</definedName>
    <definedName name="solver_rbv" localSheetId="7" hidden="1">1</definedName>
    <definedName name="solver_rlx" localSheetId="1" hidden="1">2</definedName>
    <definedName name="solver_rlx" localSheetId="2" hidden="1">2</definedName>
    <definedName name="solver_rlx" localSheetId="7" hidden="1">2</definedName>
    <definedName name="solver_rsd" localSheetId="1" hidden="1">0</definedName>
    <definedName name="solver_rsd" localSheetId="2" hidden="1">0</definedName>
    <definedName name="solver_rsd" localSheetId="7" hidden="1">0</definedName>
    <definedName name="solver_scl" localSheetId="1" hidden="1">1</definedName>
    <definedName name="solver_scl" localSheetId="2" hidden="1">1</definedName>
    <definedName name="solver_scl" localSheetId="7" hidden="1">1</definedName>
    <definedName name="solver_sho" localSheetId="1" hidden="1">2</definedName>
    <definedName name="solver_sho" localSheetId="2" hidden="1">2</definedName>
    <definedName name="solver_sho" localSheetId="7" hidden="1">2</definedName>
    <definedName name="solver_ssz" localSheetId="1" hidden="1">100</definedName>
    <definedName name="solver_ssz" localSheetId="2" hidden="1">100</definedName>
    <definedName name="solver_ssz" localSheetId="7" hidden="1">100</definedName>
    <definedName name="solver_tim" localSheetId="1" hidden="1">2147483647</definedName>
    <definedName name="solver_tim" localSheetId="2" hidden="1">2147483647</definedName>
    <definedName name="solver_tim" localSheetId="7" hidden="1">2147483647</definedName>
    <definedName name="solver_tol" localSheetId="1" hidden="1">0.01</definedName>
    <definedName name="solver_tol" localSheetId="2" hidden="1">0.01</definedName>
    <definedName name="solver_tol" localSheetId="7" hidden="1">0.01</definedName>
    <definedName name="solver_typ" localSheetId="1" hidden="1">3</definedName>
    <definedName name="solver_typ" localSheetId="2" hidden="1">3</definedName>
    <definedName name="solver_typ" localSheetId="7" hidden="1">3</definedName>
    <definedName name="solver_val" localSheetId="1" hidden="1">5</definedName>
    <definedName name="solver_val" localSheetId="2" hidden="1">0.04</definedName>
    <definedName name="solver_val" localSheetId="7" hidden="1">0.04</definedName>
    <definedName name="solver_ver" localSheetId="1" hidden="1">3</definedName>
    <definedName name="solver_ver" localSheetId="2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E23" i="6" l="1"/>
  <c r="B38" i="1"/>
  <c r="B23" i="6"/>
  <c r="C25" i="6" s="1"/>
  <c r="C26" i="6" s="1"/>
  <c r="C27" i="6" s="1"/>
  <c r="D20" i="9"/>
  <c r="P1" i="7" l="1"/>
  <c r="D52" i="9"/>
  <c r="D53" i="9" s="1"/>
  <c r="D51" i="9"/>
  <c r="E37" i="9"/>
  <c r="E38" i="9" s="1"/>
  <c r="B26" i="9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D24" i="9"/>
  <c r="F20" i="9"/>
  <c r="F21" i="9" s="1"/>
  <c r="F22" i="9" s="1"/>
  <c r="C19" i="9"/>
  <c r="G13" i="9"/>
  <c r="E13" i="9"/>
  <c r="E66" i="9" l="1"/>
  <c r="D54" i="9"/>
  <c r="D55" i="9" s="1"/>
  <c r="F23" i="9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E67" i="9"/>
  <c r="E68" i="9" s="1"/>
  <c r="E80" i="9" l="1"/>
  <c r="E81" i="9" s="1"/>
  <c r="D13" i="9"/>
  <c r="F13" i="9"/>
  <c r="F14" i="9" s="1"/>
  <c r="G5" i="4" l="1"/>
  <c r="B41" i="1" s="1"/>
  <c r="B4" i="1"/>
  <c r="B5" i="1" s="1"/>
  <c r="B5" i="2" l="1"/>
  <c r="G12" i="4" l="1"/>
  <c r="G11" i="4"/>
  <c r="H30" i="7"/>
  <c r="I30" i="7" s="1"/>
  <c r="H28" i="7"/>
  <c r="I28" i="7" s="1"/>
  <c r="H26" i="7"/>
  <c r="I26" i="7" s="1"/>
  <c r="H24" i="7"/>
  <c r="I24" i="7" s="1"/>
  <c r="H22" i="7"/>
  <c r="I22" i="7" s="1"/>
  <c r="H20" i="7"/>
  <c r="I20" i="7" s="1"/>
  <c r="H18" i="7"/>
  <c r="I18" i="7" s="1"/>
  <c r="H16" i="7"/>
  <c r="I16" i="7" s="1"/>
  <c r="H14" i="7"/>
  <c r="I14" i="7" s="1"/>
  <c r="H12" i="7"/>
  <c r="I12" i="7" s="1"/>
  <c r="H10" i="7"/>
  <c r="I10" i="7" s="1"/>
  <c r="H8" i="7"/>
  <c r="I8" i="7" s="1"/>
  <c r="H6" i="7"/>
  <c r="I6" i="7" s="1"/>
  <c r="H4" i="7"/>
  <c r="I4" i="7" s="1"/>
  <c r="H2" i="7"/>
  <c r="I2" i="7" s="1"/>
  <c r="C21" i="2" l="1"/>
  <c r="B20" i="2"/>
  <c r="A25" i="2" s="1"/>
  <c r="F7" i="2"/>
  <c r="D5" i="2"/>
  <c r="D4" i="2" s="1"/>
  <c r="B4" i="2"/>
  <c r="C23" i="2" l="1"/>
  <c r="B6" i="2" l="1"/>
  <c r="I5" i="2"/>
  <c r="I6" i="2"/>
  <c r="G6" i="4"/>
  <c r="B37" i="1"/>
  <c r="B39" i="1" s="1"/>
  <c r="B30" i="1"/>
  <c r="I7" i="2" l="1"/>
  <c r="I8" i="2" s="1"/>
  <c r="O6" i="2"/>
  <c r="O5" i="2"/>
  <c r="Q5" i="2" s="1"/>
  <c r="L6" i="2"/>
  <c r="L7" i="2" s="1"/>
  <c r="L8" i="2" s="1"/>
  <c r="B15" i="6"/>
  <c r="D29" i="1"/>
  <c r="D8" i="2" l="1"/>
  <c r="D9" i="2" s="1"/>
  <c r="B8" i="2"/>
  <c r="I9" i="2"/>
  <c r="L9" i="2"/>
  <c r="O7" i="2"/>
  <c r="O8" i="2" s="1"/>
  <c r="B21" i="2" s="1"/>
  <c r="B40" i="1"/>
  <c r="B42" i="1" s="1"/>
  <c r="B10" i="2" l="1"/>
  <c r="B9" i="2"/>
  <c r="C16" i="2" s="1"/>
  <c r="O9" i="2"/>
  <c r="C17" i="2" s="1"/>
  <c r="B25" i="2"/>
  <c r="B26" i="2" s="1"/>
  <c r="D10" i="2"/>
  <c r="F9" i="2" l="1"/>
  <c r="C22" i="2" s="1"/>
  <c r="B22" i="2"/>
  <c r="B23" i="2" s="1"/>
  <c r="C24" i="2"/>
  <c r="B27" i="2"/>
  <c r="B28" i="2" s="1"/>
  <c r="C30" i="6"/>
  <c r="E30" i="6"/>
  <c r="B30" i="6"/>
  <c r="D30" i="6" s="1"/>
  <c r="B12" i="6" s="1"/>
  <c r="C3" i="6" s="1"/>
  <c r="D3" i="6" s="1"/>
  <c r="E3" i="6" s="1"/>
  <c r="F3" i="6" s="1"/>
  <c r="B24" i="2" l="1"/>
  <c r="D20" i="6"/>
  <c r="E20" i="6" s="1"/>
  <c r="F20" i="6" s="1"/>
  <c r="C5" i="6"/>
  <c r="D5" i="6" s="1"/>
  <c r="E5" i="6" s="1"/>
  <c r="F5" i="6" s="1"/>
  <c r="G5" i="6" l="1"/>
  <c r="C6" i="6"/>
  <c r="D6" i="6" s="1"/>
  <c r="E6" i="6" s="1"/>
  <c r="F6" i="6" s="1"/>
  <c r="G6" i="6" s="1"/>
  <c r="G3" i="6"/>
  <c r="C4" i="6"/>
  <c r="D4" i="6" s="1"/>
  <c r="E4" i="6" s="1"/>
  <c r="F4" i="6" s="1"/>
  <c r="G4" i="6" s="1"/>
  <c r="B18" i="1" l="1"/>
  <c r="D31" i="1" s="1"/>
  <c r="B31" i="1" l="1"/>
  <c r="I12" i="5"/>
  <c r="J12" i="5" s="1"/>
  <c r="I10" i="5"/>
  <c r="J10" i="5" s="1"/>
  <c r="I8" i="5"/>
  <c r="J8" i="5" s="1"/>
  <c r="I6" i="5"/>
  <c r="J6" i="5" s="1"/>
  <c r="I4" i="5"/>
  <c r="J4" i="5" s="1"/>
  <c r="J16" i="3"/>
  <c r="D16" i="3"/>
  <c r="F16" i="3" s="1"/>
  <c r="K16" i="3" s="1"/>
  <c r="J15" i="3"/>
  <c r="D15" i="3"/>
  <c r="F15" i="3" s="1"/>
  <c r="K15" i="3" s="1"/>
  <c r="J14" i="3"/>
  <c r="D14" i="3"/>
  <c r="F14" i="3" s="1"/>
  <c r="K14" i="3" s="1"/>
  <c r="J13" i="3"/>
  <c r="D13" i="3"/>
  <c r="F13" i="3" s="1"/>
  <c r="K13" i="3" s="1"/>
  <c r="D12" i="3"/>
  <c r="F12" i="3" s="1"/>
  <c r="D11" i="3"/>
  <c r="F11" i="3" s="1"/>
  <c r="D10" i="3"/>
  <c r="F10" i="3" s="1"/>
  <c r="D9" i="3"/>
  <c r="F9" i="3" s="1"/>
  <c r="D8" i="3"/>
  <c r="F8" i="3" s="1"/>
  <c r="D7" i="3"/>
  <c r="F7" i="3" s="1"/>
  <c r="D6" i="3"/>
  <c r="F6" i="3" s="1"/>
  <c r="D5" i="3"/>
  <c r="F5" i="3" s="1"/>
  <c r="F4" i="3"/>
  <c r="D6" i="2" l="1"/>
  <c r="B19" i="1" l="1"/>
  <c r="B20" i="1"/>
  <c r="B43" i="1" s="1"/>
  <c r="B44" i="1" l="1"/>
  <c r="B23" i="1"/>
  <c r="B21" i="1"/>
  <c r="B22" i="1" s="1"/>
  <c r="D80" i="9" l="1"/>
  <c r="D14" i="9" s="1"/>
  <c r="C20" i="9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D81" i="9" l="1"/>
</calcChain>
</file>

<file path=xl/sharedStrings.xml><?xml version="1.0" encoding="utf-8"?>
<sst xmlns="http://schemas.openxmlformats.org/spreadsheetml/2006/main" count="335" uniqueCount="214">
  <si>
    <t>Clarifier Demensions</t>
  </si>
  <si>
    <t>Area</t>
  </si>
  <si>
    <t>Volume</t>
  </si>
  <si>
    <t>Diameter</t>
  </si>
  <si>
    <t>Height</t>
  </si>
  <si>
    <t>m</t>
  </si>
  <si>
    <t>m2</t>
  </si>
  <si>
    <t>m3</t>
  </si>
  <si>
    <t>l/s</t>
  </si>
  <si>
    <t>m3/h</t>
  </si>
  <si>
    <t>h</t>
  </si>
  <si>
    <t>m/h</t>
  </si>
  <si>
    <t>m/s</t>
  </si>
  <si>
    <t>l/h</t>
  </si>
  <si>
    <t>ppm</t>
  </si>
  <si>
    <t>Main feed flow(10%)</t>
  </si>
  <si>
    <t>Cooling water supply</t>
  </si>
  <si>
    <t>feed per clarifier</t>
  </si>
  <si>
    <t>RHEOFLOC 5414</t>
  </si>
  <si>
    <t>Chemical name</t>
  </si>
  <si>
    <t>coag type</t>
  </si>
  <si>
    <t>Pump dosing</t>
  </si>
  <si>
    <t>feed flow</t>
  </si>
  <si>
    <t>Poly( Hydroxyalkylene
 dimethylammonium chloride</t>
  </si>
  <si>
    <t>Coagulant Aid</t>
  </si>
  <si>
    <t>Concentration (50%)</t>
  </si>
  <si>
    <t>100%=50l/h</t>
  </si>
  <si>
    <t>Lime type</t>
  </si>
  <si>
    <t>Rotary feed opening</t>
  </si>
  <si>
    <t>100%=400kg/h</t>
  </si>
  <si>
    <t>kg/h</t>
  </si>
  <si>
    <t>Feed , Ca(OH)2</t>
  </si>
  <si>
    <t>Motive water feed</t>
  </si>
  <si>
    <t>Slurry concentration</t>
  </si>
  <si>
    <t>g/l</t>
  </si>
  <si>
    <t>mg/l</t>
  </si>
  <si>
    <t>Dilution water supply</t>
  </si>
  <si>
    <t>Concentration per clarifier</t>
  </si>
  <si>
    <t>Hydrated lime</t>
  </si>
  <si>
    <t>Ca(OH)2</t>
  </si>
  <si>
    <t xml:space="preserve">Concentration </t>
  </si>
  <si>
    <t>Lime dosing</t>
  </si>
  <si>
    <t>concentration in ppm</t>
  </si>
  <si>
    <t>C1V1=C2V2</t>
  </si>
  <si>
    <t>Clarifier West</t>
  </si>
  <si>
    <t>Clarifier East</t>
  </si>
  <si>
    <t>Unit</t>
  </si>
  <si>
    <t>Time running</t>
  </si>
  <si>
    <t>minutes</t>
  </si>
  <si>
    <t>Time desludging</t>
  </si>
  <si>
    <t>Total time per cycle</t>
  </si>
  <si>
    <t>Sump volume</t>
  </si>
  <si>
    <t>Coag dosage</t>
  </si>
  <si>
    <t>Flow-through Velocity</t>
  </si>
  <si>
    <t>Retention in Clarifier</t>
  </si>
  <si>
    <t>Calibrate silo feed using bucket (packet test). Set feed opening to a certain percentage</t>
  </si>
  <si>
    <t>%</t>
  </si>
  <si>
    <t>Flow (kg/h)</t>
  </si>
  <si>
    <t>Time (sec)</t>
  </si>
  <si>
    <t>Expctd mass accum</t>
  </si>
  <si>
    <t>Act mass accm 1</t>
  </si>
  <si>
    <t>Act mass accm 2</t>
  </si>
  <si>
    <t>Act mass accm 3</t>
  </si>
  <si>
    <t>Avg</t>
  </si>
  <si>
    <t>Error</t>
  </si>
  <si>
    <t xml:space="preserve">Flow rates to measure and record </t>
  </si>
  <si>
    <t>Stream</t>
  </si>
  <si>
    <t>Motive water flow</t>
  </si>
  <si>
    <t>Dilution water flow (softened)</t>
  </si>
  <si>
    <t>Lime water feed to clarifiers x 2</t>
  </si>
  <si>
    <t>Clarifier outlet flow x 2</t>
  </si>
  <si>
    <t>Clarifier CW feed flow (prior to splitting)</t>
  </si>
  <si>
    <t>CW feed to clarifier west (after split)</t>
  </si>
  <si>
    <t>CW feed to clarifier east (after split)</t>
  </si>
  <si>
    <t>Clarifier west desludge line flow</t>
  </si>
  <si>
    <t>Clarifier east desludge line flow</t>
  </si>
  <si>
    <t>Clarifier desludge line (combined)</t>
  </si>
  <si>
    <t>Avg (l/h)</t>
  </si>
  <si>
    <t>Sample no.</t>
  </si>
  <si>
    <t>Coagulant aid (ppm)</t>
  </si>
  <si>
    <t>Turbidity (NTU)</t>
  </si>
  <si>
    <t>pH</t>
  </si>
  <si>
    <t>Total hardness (mg/l CaCO3)</t>
  </si>
  <si>
    <t>Conductivity
(mS/cm)</t>
  </si>
  <si>
    <t>P-alkalinity</t>
  </si>
  <si>
    <t>M-alkalinity</t>
  </si>
  <si>
    <t>2P-M</t>
  </si>
  <si>
    <t>Lime Dosage</t>
  </si>
  <si>
    <t>Raw</t>
  </si>
  <si>
    <t>No Dosage</t>
  </si>
  <si>
    <t xml:space="preserve">Lime Costs </t>
  </si>
  <si>
    <t>Lime</t>
  </si>
  <si>
    <t>Price per ton</t>
  </si>
  <si>
    <t>mass (kg/hr)</t>
  </si>
  <si>
    <t>mass (tonne/yr)</t>
  </si>
  <si>
    <t>Cost (R/yr)/ Station Site</t>
  </si>
  <si>
    <t xml:space="preserve">Total Cost (R/yr)for both sites </t>
  </si>
  <si>
    <t>Industrial-grade</t>
  </si>
  <si>
    <t>High-grade</t>
  </si>
  <si>
    <t>Lime plus</t>
  </si>
  <si>
    <t>SLS45</t>
  </si>
  <si>
    <t>cw to 11</t>
  </si>
  <si>
    <t>Average cosumption for 10%</t>
  </si>
  <si>
    <t>Dosage</t>
  </si>
  <si>
    <t>IGH</t>
  </si>
  <si>
    <t>HGH</t>
  </si>
  <si>
    <t>LP</t>
  </si>
  <si>
    <t>SLS</t>
  </si>
  <si>
    <t>Solution(ml)</t>
  </si>
  <si>
    <t>Cooling water Treatment</t>
  </si>
  <si>
    <t>Flow(L/h) per clarifier</t>
  </si>
  <si>
    <t>mass (tonne/week)</t>
  </si>
  <si>
    <t>Flow (l/s)</t>
  </si>
  <si>
    <t>g</t>
  </si>
  <si>
    <t>V</t>
  </si>
  <si>
    <t>L</t>
  </si>
  <si>
    <t>C</t>
  </si>
  <si>
    <t>g/L</t>
  </si>
  <si>
    <t>mg/L</t>
  </si>
  <si>
    <t>C1</t>
  </si>
  <si>
    <t>V1</t>
  </si>
  <si>
    <t>C2</t>
  </si>
  <si>
    <t>V2</t>
  </si>
  <si>
    <t>ml</t>
  </si>
  <si>
    <t>Lime(g/l)</t>
  </si>
  <si>
    <t>Current - Industrial Lime</t>
  </si>
  <si>
    <t>CW-South</t>
  </si>
  <si>
    <t>CLR-East</t>
  </si>
  <si>
    <t>CLR-West</t>
  </si>
  <si>
    <t>12-06-14
07:30</t>
  </si>
  <si>
    <t>12-06-14
11:30</t>
  </si>
  <si>
    <t>12-06-14
14::30</t>
  </si>
  <si>
    <t>Sludge %</t>
  </si>
  <si>
    <t>Lime Open</t>
  </si>
  <si>
    <t>12-06-14
18:30</t>
  </si>
  <si>
    <t>13-06-14
07:30</t>
  </si>
  <si>
    <t>a</t>
  </si>
  <si>
    <t>Desludge CW East</t>
  </si>
  <si>
    <t>Time</t>
  </si>
  <si>
    <t>sec</t>
  </si>
  <si>
    <t>V1%</t>
  </si>
  <si>
    <t>V2%</t>
  </si>
  <si>
    <t>Vol</t>
  </si>
  <si>
    <t>Flow</t>
  </si>
  <si>
    <t>m4</t>
  </si>
  <si>
    <t>Desludge CW West</t>
  </si>
  <si>
    <t>Desludge stream</t>
  </si>
  <si>
    <t>l/min</t>
  </si>
  <si>
    <t>l/hour</t>
  </si>
  <si>
    <t>In one hour sludge feed is for</t>
  </si>
  <si>
    <t>Sump</t>
  </si>
  <si>
    <t>In</t>
  </si>
  <si>
    <t>Out</t>
  </si>
  <si>
    <t>Desulging Flowrate</t>
  </si>
  <si>
    <t>Desulging % per hour</t>
  </si>
  <si>
    <t>Time without desludge</t>
  </si>
  <si>
    <t>Min</t>
  </si>
  <si>
    <t>L per cycle</t>
  </si>
  <si>
    <t>Sump volume(L)</t>
  </si>
  <si>
    <t>Time (min)</t>
  </si>
  <si>
    <t>Initial sump vol plus Desuldging flow of CLr West minus sump desuldging flow</t>
  </si>
  <si>
    <t>Desludging ratio</t>
  </si>
  <si>
    <t>Flowrates</t>
  </si>
  <si>
    <t xml:space="preserve">Operating conditons </t>
  </si>
  <si>
    <t>Inlet CW flow rate</t>
  </si>
  <si>
    <t xml:space="preserve">East Desuldging Freq </t>
  </si>
  <si>
    <t>East Desuldging Duration</t>
  </si>
  <si>
    <t xml:space="preserve">West Desuldging Freq </t>
  </si>
  <si>
    <t>West Desuldging Duration</t>
  </si>
  <si>
    <t>Sample ID.</t>
  </si>
  <si>
    <t>Clarifier center stirer</t>
  </si>
  <si>
    <t>Surplus</t>
  </si>
  <si>
    <t>L/h</t>
  </si>
  <si>
    <t>Manual
Caliberation</t>
  </si>
  <si>
    <t>min</t>
  </si>
  <si>
    <t>Key:</t>
  </si>
  <si>
    <t>Current</t>
  </si>
  <si>
    <t>Operator Inputs</t>
  </si>
  <si>
    <t>Desludge Frequency (minutes)</t>
  </si>
  <si>
    <t>Model dependents</t>
  </si>
  <si>
    <t>Desludge Duration (minutes)</t>
  </si>
  <si>
    <t>Sump Discharge</t>
  </si>
  <si>
    <t>Flow rates (L/min)</t>
  </si>
  <si>
    <t>Sump min level (L)</t>
  </si>
  <si>
    <t>Sump Total Volume (m3)</t>
  </si>
  <si>
    <t>Clarifier Total Volume (m3)</t>
  </si>
  <si>
    <t>Total Amount Desludged in 60 minutes</t>
  </si>
  <si>
    <t xml:space="preserve">% Desludged </t>
  </si>
  <si>
    <t>Flow Rates (L/min)</t>
  </si>
  <si>
    <t>Time (minutes)</t>
  </si>
  <si>
    <t>Total Sump Volume (L)</t>
  </si>
  <si>
    <t>Clarifier East Desludge</t>
  </si>
  <si>
    <t>Clarifier West Desludge</t>
  </si>
  <si>
    <t>Total amnt desludged</t>
  </si>
  <si>
    <t>Desludge %</t>
  </si>
  <si>
    <t>Clarifier volume (m3)</t>
  </si>
  <si>
    <t>Based on measured flow</t>
  </si>
  <si>
    <t>concentration in mixer</t>
  </si>
  <si>
    <t>Sub Macro1()</t>
  </si>
  <si>
    <t>'</t>
  </si>
  <si>
    <t>' Macro1 Macro</t>
  </si>
  <si>
    <t xml:space="preserve">    ActiveSheet.Shapes.Range(Array("CommandButton2")).Select</t>
  </si>
  <si>
    <t xml:space="preserve">    Range("J26").Select</t>
  </si>
  <si>
    <t xml:space="preserve">    Windows("Design-Resin Rig_v22.xlsm").Activate</t>
  </si>
  <si>
    <t xml:space="preserve">    Windows("Kriel CW Log_12-06-2014.xlsx").Activate</t>
  </si>
  <si>
    <t xml:space="preserve">    ChDir "C:\Users\tamanetg\Work\Claifiers"</t>
  </si>
  <si>
    <t xml:space="preserve">    ActiveWorkbook.SaveAs Filename:= _</t>
  </si>
  <si>
    <t xml:space="preserve">        "C:\Users\tamanetg\Work\Claifiers\Kriel CW Log_13-06-2014.xlsm", FileFormat:= _</t>
  </si>
  <si>
    <t xml:space="preserve">        xlOpenXMLWorkbookMacroEnabled, CreateBackup:=False</t>
  </si>
  <si>
    <t xml:space="preserve">    Range("H24").Select</t>
  </si>
  <si>
    <t>End Sub</t>
  </si>
  <si>
    <t>Sub CommandButton2_Click()</t>
  </si>
  <si>
    <t>' solve for COAGULANT</t>
  </si>
  <si>
    <t>Range("B31").GoalSeek Goal:=5.5, ChangingCell:=Range("B29")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</si>
</sst>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&quot;\ #,##0.00;[Red]&quot;R&quot;\ \-#,##0.00"/>
    <numFmt numFmtId="165" formatCode="_ * #,##0.00_ ;_ * \-#,##0.00_ ;_ * &quot;-&quot;??_ ;_ @_ "/>
    <numFmt numFmtId="166" formatCode="0.0"/>
    <numFmt numFmtId="167" formatCode="0.000"/>
    <numFmt numFmtId="168" formatCode="0.0000"/>
    <numFmt numFmtId="169" formatCode="_ [$R-1C09]\ * #,##0_ ;_ [$R-1C09]\ * \-#,##0_ ;_ [$R-1C09]\ * &quot;-&quot;??_ ;_ @_ "/>
    <numFmt numFmtId="170" formatCode="_ * #,##0_ ;_ * \-#,##0_ ;_ * &quot;-&quot;??_ ;_ @_ "/>
    <numFmt numFmtId="171" formatCode="_ [$R-1C09]\ * #,##0.00_ ;_ [$R-1C09]\ * \-#,##0.00_ ;_ [$R-1C09]\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rgb="FF000000"/>
      <name val="Times New Roman"/>
      <family val="1"/>
    </font>
    <font>
      <sz val="11"/>
      <color rgb="FF1F497D"/>
      <name val="Calibri"/>
      <family val="2"/>
      <scheme val="minor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F497D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22">
    <xf numFmtId="0" fontId="0" fillId="0" borderId="0" xfId="0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9" fontId="0" fillId="0" borderId="0" xfId="1" applyFon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left"/>
    </xf>
    <xf numFmtId="1" fontId="0" fillId="0" borderId="1" xfId="0" applyNumberFormat="1" applyBorder="1"/>
    <xf numFmtId="9" fontId="0" fillId="2" borderId="1" xfId="1" applyFont="1" applyFill="1" applyBorder="1"/>
    <xf numFmtId="9" fontId="0" fillId="0" borderId="1" xfId="1" applyFont="1" applyBorder="1"/>
    <xf numFmtId="1" fontId="0" fillId="0" borderId="1" xfId="1" applyNumberFormat="1" applyFont="1" applyBorder="1"/>
    <xf numFmtId="167" fontId="2" fillId="0" borderId="1" xfId="0" applyNumberFormat="1" applyFont="1" applyBorder="1"/>
    <xf numFmtId="2" fontId="2" fillId="0" borderId="1" xfId="0" applyNumberFormat="1" applyFont="1" applyBorder="1"/>
    <xf numFmtId="166" fontId="2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9" fontId="0" fillId="0" borderId="17" xfId="1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3" fillId="0" borderId="19" xfId="0" applyFont="1" applyBorder="1" applyAlignment="1">
      <alignment vertical="center"/>
    </xf>
    <xf numFmtId="0" fontId="0" fillId="0" borderId="20" xfId="0" applyBorder="1"/>
    <xf numFmtId="0" fontId="0" fillId="0" borderId="21" xfId="0" applyBorder="1"/>
    <xf numFmtId="0" fontId="3" fillId="0" borderId="12" xfId="0" applyFont="1" applyBorder="1" applyAlignment="1">
      <alignment vertical="center"/>
    </xf>
    <xf numFmtId="0" fontId="0" fillId="0" borderId="22" xfId="0" applyBorder="1"/>
    <xf numFmtId="0" fontId="3" fillId="0" borderId="14" xfId="0" applyFont="1" applyBorder="1" applyAlignment="1">
      <alignment vertical="center"/>
    </xf>
    <xf numFmtId="0" fontId="0" fillId="0" borderId="15" xfId="0" applyBorder="1"/>
    <xf numFmtId="0" fontId="0" fillId="0" borderId="23" xfId="0" applyBorder="1"/>
    <xf numFmtId="0" fontId="3" fillId="0" borderId="7" xfId="0" applyFont="1" applyBorder="1"/>
    <xf numFmtId="0" fontId="0" fillId="0" borderId="13" xfId="0" applyBorder="1"/>
    <xf numFmtId="0" fontId="0" fillId="0" borderId="17" xfId="0" applyBorder="1"/>
    <xf numFmtId="0" fontId="0" fillId="0" borderId="25" xfId="0" applyBorder="1" applyAlignment="1">
      <alignment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6" fillId="0" borderId="30" xfId="0" applyFont="1" applyBorder="1"/>
    <xf numFmtId="0" fontId="6" fillId="0" borderId="31" xfId="0" applyFont="1" applyBorder="1"/>
    <xf numFmtId="0" fontId="6" fillId="0" borderId="32" xfId="0" applyFont="1" applyBorder="1"/>
    <xf numFmtId="0" fontId="6" fillId="0" borderId="1" xfId="0" applyFont="1" applyBorder="1"/>
    <xf numFmtId="0" fontId="6" fillId="0" borderId="22" xfId="0" applyFont="1" applyBorder="1"/>
    <xf numFmtId="0" fontId="6" fillId="0" borderId="19" xfId="0" applyFont="1" applyBorder="1"/>
    <xf numFmtId="169" fontId="6" fillId="0" borderId="20" xfId="0" applyNumberFormat="1" applyFont="1" applyBorder="1"/>
    <xf numFmtId="1" fontId="6" fillId="0" borderId="20" xfId="0" applyNumberFormat="1" applyFont="1" applyBorder="1" applyAlignment="1">
      <alignment horizontal="center"/>
    </xf>
    <xf numFmtId="169" fontId="0" fillId="0" borderId="0" xfId="0" applyNumberFormat="1"/>
    <xf numFmtId="0" fontId="6" fillId="0" borderId="12" xfId="0" applyFont="1" applyBorder="1"/>
    <xf numFmtId="169" fontId="6" fillId="0" borderId="1" xfId="0" applyNumberFormat="1" applyFont="1" applyBorder="1"/>
    <xf numFmtId="1" fontId="6" fillId="0" borderId="1" xfId="0" applyNumberFormat="1" applyFont="1" applyBorder="1" applyAlignment="1">
      <alignment horizontal="center"/>
    </xf>
    <xf numFmtId="169" fontId="6" fillId="0" borderId="22" xfId="0" applyNumberFormat="1" applyFont="1" applyBorder="1"/>
    <xf numFmtId="164" fontId="7" fillId="0" borderId="0" xfId="0" applyNumberFormat="1" applyFont="1" applyAlignment="1">
      <alignment vertical="center"/>
    </xf>
    <xf numFmtId="0" fontId="6" fillId="0" borderId="14" xfId="0" applyFont="1" applyBorder="1"/>
    <xf numFmtId="169" fontId="6" fillId="0" borderId="15" xfId="0" applyNumberFormat="1" applyFont="1" applyBorder="1"/>
    <xf numFmtId="1" fontId="6" fillId="0" borderId="15" xfId="0" applyNumberFormat="1" applyFont="1" applyBorder="1" applyAlignment="1">
      <alignment horizontal="center"/>
    </xf>
    <xf numFmtId="169" fontId="6" fillId="0" borderId="23" xfId="0" applyNumberFormat="1" applyFont="1" applyBorder="1"/>
    <xf numFmtId="0" fontId="6" fillId="0" borderId="0" xfId="0" applyFont="1"/>
    <xf numFmtId="0" fontId="3" fillId="0" borderId="18" xfId="0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14" xfId="0" applyBorder="1"/>
    <xf numFmtId="2" fontId="0" fillId="0" borderId="23" xfId="0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168" fontId="0" fillId="0" borderId="1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9" xfId="0" applyBorder="1"/>
    <xf numFmtId="1" fontId="0" fillId="3" borderId="1" xfId="0" applyNumberFormat="1" applyFill="1" applyBorder="1"/>
    <xf numFmtId="166" fontId="0" fillId="0" borderId="1" xfId="0" applyNumberFormat="1" applyBorder="1"/>
    <xf numFmtId="0" fontId="0" fillId="0" borderId="46" xfId="0" applyBorder="1"/>
    <xf numFmtId="0" fontId="0" fillId="0" borderId="4" xfId="0" applyBorder="1"/>
    <xf numFmtId="0" fontId="0" fillId="0" borderId="47" xfId="0" applyBorder="1"/>
    <xf numFmtId="0" fontId="0" fillId="0" borderId="48" xfId="0" applyBorder="1"/>
    <xf numFmtId="0" fontId="0" fillId="0" borderId="50" xfId="0" applyBorder="1"/>
    <xf numFmtId="0" fontId="3" fillId="0" borderId="1" xfId="0" applyFont="1" applyBorder="1"/>
    <xf numFmtId="0" fontId="3" fillId="0" borderId="0" xfId="0" applyFont="1"/>
    <xf numFmtId="9" fontId="0" fillId="0" borderId="20" xfId="1" applyFont="1" applyBorder="1"/>
    <xf numFmtId="0" fontId="0" fillId="0" borderId="12" xfId="0" applyBorder="1"/>
    <xf numFmtId="167" fontId="0" fillId="2" borderId="4" xfId="0" applyNumberFormat="1" applyFill="1" applyBorder="1"/>
    <xf numFmtId="0" fontId="0" fillId="0" borderId="51" xfId="0" applyBorder="1"/>
    <xf numFmtId="1" fontId="0" fillId="0" borderId="4" xfId="0" applyNumberFormat="1" applyBorder="1"/>
    <xf numFmtId="1" fontId="0" fillId="0" borderId="47" xfId="0" applyNumberFormat="1" applyBorder="1"/>
    <xf numFmtId="0" fontId="0" fillId="0" borderId="25" xfId="0" applyBorder="1"/>
    <xf numFmtId="0" fontId="0" fillId="0" borderId="52" xfId="0" applyBorder="1"/>
    <xf numFmtId="0" fontId="0" fillId="0" borderId="53" xfId="0" applyBorder="1"/>
    <xf numFmtId="0" fontId="0" fillId="0" borderId="27" xfId="0" applyBorder="1"/>
    <xf numFmtId="167" fontId="0" fillId="3" borderId="40" xfId="0" applyNumberFormat="1" applyFill="1" applyBorder="1"/>
    <xf numFmtId="10" fontId="0" fillId="6" borderId="40" xfId="1" applyNumberFormat="1" applyFont="1" applyFill="1" applyBorder="1"/>
    <xf numFmtId="0" fontId="0" fillId="0" borderId="0" xfId="0" applyAlignment="1">
      <alignment wrapText="1"/>
    </xf>
    <xf numFmtId="1" fontId="0" fillId="0" borderId="0" xfId="0" applyNumberFormat="1"/>
    <xf numFmtId="0" fontId="0" fillId="3" borderId="0" xfId="0" applyFill="1"/>
    <xf numFmtId="166" fontId="3" fillId="5" borderId="1" xfId="0" applyNumberFormat="1" applyFont="1" applyFill="1" applyBorder="1"/>
    <xf numFmtId="166" fontId="3" fillId="0" borderId="1" xfId="0" applyNumberFormat="1" applyFont="1" applyBorder="1"/>
    <xf numFmtId="170" fontId="0" fillId="0" borderId="19" xfId="2" applyNumberFormat="1" applyFont="1" applyBorder="1"/>
    <xf numFmtId="170" fontId="0" fillId="0" borderId="12" xfId="2" applyNumberFormat="1" applyFont="1" applyBorder="1"/>
    <xf numFmtId="2" fontId="0" fillId="0" borderId="22" xfId="0" applyNumberFormat="1" applyBorder="1"/>
    <xf numFmtId="170" fontId="0" fillId="0" borderId="14" xfId="2" applyNumberFormat="1" applyFont="1" applyBorder="1"/>
    <xf numFmtId="2" fontId="0" fillId="0" borderId="23" xfId="0" applyNumberFormat="1" applyBorder="1"/>
    <xf numFmtId="170" fontId="0" fillId="0" borderId="41" xfId="2" applyNumberFormat="1" applyFont="1" applyBorder="1"/>
    <xf numFmtId="2" fontId="0" fillId="0" borderId="45" xfId="0" applyNumberFormat="1" applyBorder="1"/>
    <xf numFmtId="170" fontId="0" fillId="0" borderId="43" xfId="2" applyNumberFormat="1" applyFont="1" applyBorder="1"/>
    <xf numFmtId="0" fontId="0" fillId="0" borderId="39" xfId="0" applyBorder="1" applyAlignment="1">
      <alignment vertical="center" wrapText="1"/>
    </xf>
    <xf numFmtId="0" fontId="0" fillId="0" borderId="44" xfId="0" applyBorder="1" applyAlignment="1">
      <alignment horizontal="left"/>
    </xf>
    <xf numFmtId="0" fontId="0" fillId="0" borderId="54" xfId="0" applyBorder="1" applyAlignment="1">
      <alignment horizontal="left"/>
    </xf>
    <xf numFmtId="1" fontId="0" fillId="0" borderId="24" xfId="0" applyNumberFormat="1" applyBorder="1"/>
    <xf numFmtId="165" fontId="0" fillId="0" borderId="4" xfId="2" applyFont="1" applyBorder="1"/>
    <xf numFmtId="170" fontId="0" fillId="0" borderId="1" xfId="2" applyNumberFormat="1" applyFont="1" applyBorder="1"/>
    <xf numFmtId="170" fontId="0" fillId="0" borderId="15" xfId="2" applyNumberFormat="1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0" borderId="57" xfId="0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3" borderId="1" xfId="0" applyNumberFormat="1" applyFill="1" applyBorder="1"/>
    <xf numFmtId="166" fontId="0" fillId="2" borderId="1" xfId="0" applyNumberFormat="1" applyFill="1" applyBorder="1"/>
    <xf numFmtId="171" fontId="6" fillId="0" borderId="21" xfId="0" applyNumberFormat="1" applyFont="1" applyBorder="1"/>
    <xf numFmtId="171" fontId="6" fillId="0" borderId="20" xfId="0" applyNumberFormat="1" applyFont="1" applyBorder="1"/>
    <xf numFmtId="14" fontId="9" fillId="0" borderId="4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9" fontId="0" fillId="0" borderId="43" xfId="1" applyFont="1" applyBorder="1" applyAlignment="1">
      <alignment horizontal="center" vertical="center" wrapText="1"/>
    </xf>
    <xf numFmtId="9" fontId="0" fillId="0" borderId="42" xfId="1" applyFont="1" applyBorder="1" applyAlignment="1">
      <alignment horizontal="center" vertical="center" wrapText="1"/>
    </xf>
    <xf numFmtId="9" fontId="0" fillId="0" borderId="43" xfId="0" applyNumberFormat="1" applyBorder="1" applyAlignment="1">
      <alignment horizontal="center"/>
    </xf>
    <xf numFmtId="9" fontId="0" fillId="0" borderId="42" xfId="0" applyNumberFormat="1" applyBorder="1" applyAlignment="1">
      <alignment horizontal="center"/>
    </xf>
    <xf numFmtId="9" fontId="0" fillId="0" borderId="44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44" xfId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0" fontId="8" fillId="0" borderId="22" xfId="0" applyFont="1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66" fontId="0" fillId="0" borderId="15" xfId="0" applyNumberFormat="1" applyBorder="1" applyAlignment="1">
      <alignment horizontal="center" vertical="center" wrapText="1"/>
    </xf>
    <xf numFmtId="0" fontId="8" fillId="0" borderId="23" xfId="0" applyFont="1" applyBorder="1" applyAlignment="1">
      <alignment vertical="center" wrapText="1"/>
    </xf>
    <xf numFmtId="20" fontId="0" fillId="0" borderId="39" xfId="0" applyNumberFormat="1" applyBorder="1" applyAlignment="1">
      <alignment horizontal="center" vertical="center" textRotation="90" wrapText="1"/>
    </xf>
    <xf numFmtId="20" fontId="0" fillId="0" borderId="4" xfId="0" applyNumberFormat="1" applyBorder="1" applyAlignment="1">
      <alignment horizontal="center" vertical="center" textRotation="90"/>
    </xf>
    <xf numFmtId="20" fontId="0" fillId="0" borderId="40" xfId="0" applyNumberFormat="1" applyBorder="1" applyAlignment="1">
      <alignment horizontal="center" vertical="center" textRotation="90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66" fontId="0" fillId="0" borderId="20" xfId="0" applyNumberFormat="1" applyBorder="1" applyAlignment="1">
      <alignment horizontal="center" vertical="center" wrapText="1"/>
    </xf>
    <xf numFmtId="0" fontId="8" fillId="0" borderId="21" xfId="0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8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" xfId="0" applyFont="1" applyBorder="1" applyAlignment="1">
      <alignment horizontal="center"/>
    </xf>
    <xf numFmtId="0" fontId="5" fillId="4" borderId="28" xfId="0" applyFont="1" applyFill="1" applyBorder="1" applyAlignment="1">
      <alignment horizontal="center"/>
    </xf>
    <xf numFmtId="0" fontId="5" fillId="4" borderId="29" xfId="0" applyFont="1" applyFill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0" fillId="0" borderId="25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166" fontId="0" fillId="0" borderId="25" xfId="0" applyNumberFormat="1" applyBorder="1" applyAlignment="1">
      <alignment horizontal="center" vertical="center" wrapText="1"/>
    </xf>
    <xf numFmtId="166" fontId="0" fillId="0" borderId="27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167" fontId="0" fillId="2" borderId="4" xfId="0" applyNumberFormat="1" applyFill="1" applyBorder="1" applyAlignment="1">
      <alignment horizontal="center"/>
    </xf>
    <xf numFmtId="167" fontId="0" fillId="2" borderId="47" xfId="0" applyNumberFormat="1" applyFill="1" applyBorder="1" applyAlignment="1">
      <alignment horizontal="center"/>
    </xf>
    <xf numFmtId="0" fontId="0" fillId="0" borderId="59" xfId="0" applyBorder="1"/>
    <xf numFmtId="0" fontId="0" fillId="0" borderId="26" xfId="0" applyBorder="1"/>
    <xf numFmtId="0" fontId="0" fillId="0" borderId="0" xfId="0" applyBorder="1"/>
    <xf numFmtId="0" fontId="0" fillId="0" borderId="40" xfId="0" applyBorder="1"/>
    <xf numFmtId="0" fontId="0" fillId="0" borderId="49" xfId="0" applyBorder="1"/>
  </cellXfs>
  <cellStyles count="3">
    <cellStyle name="Comma" xfId="2" builtinId="3"/>
    <cellStyle name="Normal" xfId="0" builtinId="0"/>
    <cellStyle name="Percent" xfId="1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528919</xdr:colOff>
      <xdr:row>3</xdr:row>
      <xdr:rowOff>88526</xdr:rowOff>
    </xdr:from>
    <xdr:to>
      <xdr:col>12</xdr:col>
      <xdr:colOff>357468</xdr:colOff>
      <xdr:row>17</xdr:row>
      <xdr:rowOff>79001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3370731" y="626408"/>
          <a:ext cx="6659655" cy="2500593"/>
          <a:chOff x="1704976" y="1381125"/>
          <a:chExt cx="9382124" cy="4078689"/>
        </a:xfrm>
      </xdr:grpSpPr>
      <xdr:sp macro="" textlink="">
        <xdr:nvSpPr>
          <xdr:cNvPr id="3" name="Trapezoid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 flipV="1">
            <a:off x="3686175" y="1381125"/>
            <a:ext cx="5524500" cy="1714501"/>
          </a:xfrm>
          <a:prstGeom prst="trapezoid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0" name="Elbow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>
            <a:stCxn id="3" idx="0"/>
          </xdr:cNvCxnSpPr>
        </xdr:nvCxnSpPr>
        <xdr:spPr>
          <a:xfrm rot="16200000" flipH="1">
            <a:off x="6691311" y="2852737"/>
            <a:ext cx="1504950" cy="1990725"/>
          </a:xfrm>
          <a:prstGeom prst="bentConnector2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 flipV="1">
            <a:off x="9201150" y="1381125"/>
            <a:ext cx="1762125" cy="9525"/>
          </a:xfrm>
          <a:prstGeom prst="straightConnector1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Elbow Connector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/>
        </xdr:nvCxnSpPr>
        <xdr:spPr>
          <a:xfrm rot="5400000" flipH="1" flipV="1">
            <a:off x="4933952" y="3886200"/>
            <a:ext cx="1809751" cy="266702"/>
          </a:xfrm>
          <a:prstGeom prst="bent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Elbow Connecto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CxnSpPr/>
        </xdr:nvCxnSpPr>
        <xdr:spPr>
          <a:xfrm rot="5400000" flipH="1" flipV="1">
            <a:off x="4005267" y="3424240"/>
            <a:ext cx="1800219" cy="1143003"/>
          </a:xfrm>
          <a:prstGeom prst="bent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Arrow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/>
        </xdr:nvCxnSpPr>
        <xdr:spPr>
          <a:xfrm>
            <a:off x="1971675" y="4000500"/>
            <a:ext cx="2381250" cy="0"/>
          </a:xfrm>
          <a:prstGeom prst="straightConnector1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9413764" y="1628775"/>
            <a:ext cx="1673336" cy="3955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Softened Water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162548" y="5019675"/>
            <a:ext cx="1533831" cy="44013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Lime Slurry</a:t>
            </a: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704976" y="3514725"/>
            <a:ext cx="1215670" cy="33700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Coagulant</a:t>
            </a: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3592841" y="4581525"/>
            <a:ext cx="1744847" cy="35200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Cooling</a:t>
            </a:r>
            <a:r>
              <a:rPr lang="en-ZA" sz="1100" baseline="0"/>
              <a:t> water</a:t>
            </a:r>
            <a:endParaRPr lang="en-ZA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8486773" y="4495801"/>
            <a:ext cx="1270237" cy="510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Sludge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25</xdr:row>
          <xdr:rowOff>137160</xdr:rowOff>
        </xdr:from>
        <xdr:to>
          <xdr:col>6</xdr:col>
          <xdr:colOff>297180</xdr:colOff>
          <xdr:row>28</xdr:row>
          <xdr:rowOff>38100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35</xdr:row>
          <xdr:rowOff>68580</xdr:rowOff>
        </xdr:from>
        <xdr:to>
          <xdr:col>6</xdr:col>
          <xdr:colOff>68580</xdr:colOff>
          <xdr:row>39</xdr:row>
          <xdr:rowOff>30480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297180</xdr:colOff>
      <xdr:row>26</xdr:row>
      <xdr:rowOff>80682</xdr:rowOff>
    </xdr:from>
    <xdr:to>
      <xdr:col>9</xdr:col>
      <xdr:colOff>582706</xdr:colOff>
      <xdr:row>26</xdr:row>
      <xdr:rowOff>302783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A6E52D7B-29F3-59D5-0CB4-C2E5482827E6}"/>
            </a:ext>
          </a:extLst>
        </xdr:cNvPr>
        <xdr:cNvCxnSpPr>
          <a:stCxn id="1028" idx="3"/>
        </xdr:cNvCxnSpPr>
      </xdr:nvCxnSpPr>
      <xdr:spPr>
        <a:xfrm flipV="1">
          <a:off x="6294568" y="4751294"/>
          <a:ext cx="2132256" cy="22210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FF00"/>
  </sheetPr>
  <dimension ref="A1:Q31"/>
  <sheetViews>
    <sheetView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8" sqref="E28:E29"/>
    </sheetView>
  </sheetViews>
  <sheetFormatPr defaultRowHeight="14.4" x14ac:dyDescent="0.3"/>
  <cols>
    <col min="3" max="3" width="10.44140625" customWidth="1"/>
    <col min="9" max="9" width="16.33203125" customWidth="1"/>
    <col min="11" max="11" width="11.109375" customWidth="1"/>
    <col min="12" max="12" width="9.109375" customWidth="1"/>
    <col min="13" max="13" width="16.33203125" customWidth="1"/>
  </cols>
  <sheetData>
    <row r="1" spans="1:17" ht="60.75" customHeight="1" thickBot="1" x14ac:dyDescent="0.35">
      <c r="A1" s="92"/>
      <c r="B1" s="53" t="s">
        <v>169</v>
      </c>
      <c r="C1" s="53" t="s">
        <v>79</v>
      </c>
      <c r="D1" s="53" t="s">
        <v>80</v>
      </c>
      <c r="E1" s="54" t="s">
        <v>81</v>
      </c>
      <c r="F1" s="53" t="s">
        <v>84</v>
      </c>
      <c r="G1" s="53" t="s">
        <v>85</v>
      </c>
      <c r="H1" s="53" t="s">
        <v>86</v>
      </c>
      <c r="I1" s="53" t="s">
        <v>87</v>
      </c>
      <c r="J1" s="127" t="s">
        <v>132</v>
      </c>
      <c r="K1" s="53" t="s">
        <v>133</v>
      </c>
      <c r="L1" s="153" t="s">
        <v>163</v>
      </c>
      <c r="M1" s="154"/>
      <c r="N1" s="154"/>
      <c r="O1" s="155"/>
      <c r="P1" s="147">
        <f ca="1">TODAY()</f>
        <v>44962</v>
      </c>
      <c r="Q1" s="148"/>
    </row>
    <row r="2" spans="1:17" x14ac:dyDescent="0.3">
      <c r="A2" s="173" t="s">
        <v>129</v>
      </c>
      <c r="B2" s="176" t="s">
        <v>126</v>
      </c>
      <c r="C2" s="177">
        <v>7.7</v>
      </c>
      <c r="D2" s="177">
        <v>97.9</v>
      </c>
      <c r="E2" s="178">
        <v>8.7100000000000009</v>
      </c>
      <c r="F2" s="178">
        <v>11.26</v>
      </c>
      <c r="G2" s="178">
        <v>147.1</v>
      </c>
      <c r="H2" s="178">
        <f>F2*2-G2</f>
        <v>-124.58</v>
      </c>
      <c r="I2" s="179" t="str">
        <f>IF(H2&lt;0,"Underdose",IF(H2=0,"Optimum Dosage","Overdose"))</f>
        <v>Underdose</v>
      </c>
      <c r="J2" s="156"/>
      <c r="K2" s="158">
        <v>0.3</v>
      </c>
      <c r="L2" s="149" t="s">
        <v>164</v>
      </c>
      <c r="M2" s="150"/>
      <c r="N2" s="43">
        <v>350</v>
      </c>
      <c r="O2" s="44" t="s">
        <v>8</v>
      </c>
    </row>
    <row r="3" spans="1:17" x14ac:dyDescent="0.3">
      <c r="A3" s="174"/>
      <c r="B3" s="167"/>
      <c r="C3" s="169"/>
      <c r="D3" s="169"/>
      <c r="E3" s="165"/>
      <c r="F3" s="165"/>
      <c r="G3" s="165"/>
      <c r="H3" s="165"/>
      <c r="I3" s="166"/>
      <c r="J3" s="157"/>
      <c r="K3" s="159"/>
      <c r="L3" s="151" t="s">
        <v>165</v>
      </c>
      <c r="M3" s="152"/>
      <c r="N3" s="5"/>
      <c r="O3" s="46"/>
    </row>
    <row r="4" spans="1:17" x14ac:dyDescent="0.3">
      <c r="A4" s="174"/>
      <c r="B4" s="167" t="s">
        <v>127</v>
      </c>
      <c r="C4" s="169">
        <v>7.7</v>
      </c>
      <c r="D4" s="169">
        <v>9.26</v>
      </c>
      <c r="E4" s="165">
        <v>9.81</v>
      </c>
      <c r="F4" s="165">
        <v>41.84</v>
      </c>
      <c r="G4" s="165">
        <v>92.18</v>
      </c>
      <c r="H4" s="165">
        <f>F4*2-G4</f>
        <v>-8.5</v>
      </c>
      <c r="I4" s="166" t="str">
        <f>IF(H4&lt;0,"Underdose",IF(H4=0,"Optimum Dosage","Overdose"))</f>
        <v>Underdose</v>
      </c>
      <c r="J4" s="157"/>
      <c r="K4" s="159">
        <v>0.3</v>
      </c>
      <c r="L4" s="151" t="s">
        <v>166</v>
      </c>
      <c r="M4" s="152"/>
      <c r="N4" s="5"/>
      <c r="O4" s="46"/>
    </row>
    <row r="5" spans="1:17" x14ac:dyDescent="0.3">
      <c r="A5" s="174"/>
      <c r="B5" s="167"/>
      <c r="C5" s="169"/>
      <c r="D5" s="169"/>
      <c r="E5" s="165"/>
      <c r="F5" s="165"/>
      <c r="G5" s="165"/>
      <c r="H5" s="165"/>
      <c r="I5" s="166"/>
      <c r="J5" s="157"/>
      <c r="K5" s="159"/>
      <c r="L5" s="151" t="s">
        <v>167</v>
      </c>
      <c r="M5" s="152"/>
      <c r="N5" s="5"/>
      <c r="O5" s="46"/>
    </row>
    <row r="6" spans="1:17" x14ac:dyDescent="0.3">
      <c r="A6" s="174"/>
      <c r="B6" s="167" t="s">
        <v>128</v>
      </c>
      <c r="C6" s="169">
        <v>7.7</v>
      </c>
      <c r="D6" s="169">
        <v>5.65</v>
      </c>
      <c r="E6" s="165">
        <v>9.82</v>
      </c>
      <c r="F6" s="165">
        <v>43.23</v>
      </c>
      <c r="G6" s="165">
        <v>94.29</v>
      </c>
      <c r="H6" s="165">
        <f>F6*2-G6</f>
        <v>-7.8300000000000125</v>
      </c>
      <c r="I6" s="166" t="str">
        <f>IF(H6&lt;0,"Underdose",IF(H6=0,"Optimum Dosage","Overdose"))</f>
        <v>Underdose</v>
      </c>
      <c r="J6" s="157"/>
      <c r="K6" s="159">
        <v>0.3</v>
      </c>
      <c r="L6" s="151" t="s">
        <v>168</v>
      </c>
      <c r="M6" s="152"/>
      <c r="N6" s="5"/>
      <c r="O6" s="46"/>
    </row>
    <row r="7" spans="1:17" ht="15" thickBot="1" x14ac:dyDescent="0.35">
      <c r="A7" s="175"/>
      <c r="B7" s="168"/>
      <c r="C7" s="170"/>
      <c r="D7" s="169"/>
      <c r="E7" s="171"/>
      <c r="F7" s="171"/>
      <c r="G7" s="171"/>
      <c r="H7" s="171"/>
      <c r="I7" s="172"/>
      <c r="J7" s="164"/>
      <c r="K7" s="160"/>
      <c r="L7" s="128" t="s">
        <v>170</v>
      </c>
      <c r="M7" s="129"/>
      <c r="N7" s="48"/>
      <c r="O7" s="49"/>
    </row>
    <row r="8" spans="1:17" ht="15" customHeight="1" x14ac:dyDescent="0.3">
      <c r="A8" s="173" t="s">
        <v>130</v>
      </c>
      <c r="B8" s="176" t="s">
        <v>126</v>
      </c>
      <c r="C8" s="177">
        <v>7.7</v>
      </c>
      <c r="D8" s="177">
        <v>100</v>
      </c>
      <c r="E8" s="178">
        <v>8.66</v>
      </c>
      <c r="F8" s="178">
        <v>11.92</v>
      </c>
      <c r="G8" s="178">
        <v>165.44</v>
      </c>
      <c r="H8" s="178">
        <f>F8*2-G8</f>
        <v>-141.6</v>
      </c>
      <c r="I8" s="179" t="str">
        <f>IF(H8&lt;0,"Underdose",IF(H8=0,"Optimum Dosage","Overdose"))</f>
        <v>Underdose</v>
      </c>
      <c r="J8" s="156"/>
      <c r="K8" s="158">
        <v>0.3</v>
      </c>
      <c r="L8" s="149" t="s">
        <v>164</v>
      </c>
      <c r="M8" s="150"/>
      <c r="N8" s="43">
        <v>350</v>
      </c>
      <c r="O8" s="44" t="s">
        <v>8</v>
      </c>
    </row>
    <row r="9" spans="1:17" x14ac:dyDescent="0.3">
      <c r="A9" s="174"/>
      <c r="B9" s="167"/>
      <c r="C9" s="169"/>
      <c r="D9" s="169"/>
      <c r="E9" s="165"/>
      <c r="F9" s="165"/>
      <c r="G9" s="165"/>
      <c r="H9" s="165"/>
      <c r="I9" s="166"/>
      <c r="J9" s="157"/>
      <c r="K9" s="161"/>
      <c r="L9" s="151" t="s">
        <v>165</v>
      </c>
      <c r="M9" s="152"/>
      <c r="N9" s="5"/>
      <c r="O9" s="46"/>
    </row>
    <row r="10" spans="1:17" x14ac:dyDescent="0.3">
      <c r="A10" s="174"/>
      <c r="B10" s="167" t="s">
        <v>127</v>
      </c>
      <c r="C10" s="169">
        <v>7.7</v>
      </c>
      <c r="D10" s="169">
        <v>12.4</v>
      </c>
      <c r="E10" s="165">
        <v>9.6</v>
      </c>
      <c r="F10" s="165">
        <v>33.659999999999997</v>
      </c>
      <c r="G10" s="165">
        <v>84.37</v>
      </c>
      <c r="H10" s="165">
        <f>F10*2-G10</f>
        <v>-17.050000000000011</v>
      </c>
      <c r="I10" s="166" t="str">
        <f>IF(H10&lt;0,"Underdose",IF(H10=0,"Optimum Dosage","Overdose"))</f>
        <v>Underdose</v>
      </c>
      <c r="J10" s="157"/>
      <c r="K10" s="161">
        <v>0.3</v>
      </c>
      <c r="L10" s="151" t="s">
        <v>166</v>
      </c>
      <c r="M10" s="152"/>
      <c r="N10" s="5"/>
      <c r="O10" s="46"/>
    </row>
    <row r="11" spans="1:17" x14ac:dyDescent="0.3">
      <c r="A11" s="174"/>
      <c r="B11" s="167"/>
      <c r="C11" s="169"/>
      <c r="D11" s="169"/>
      <c r="E11" s="165"/>
      <c r="F11" s="165"/>
      <c r="G11" s="165"/>
      <c r="H11" s="165"/>
      <c r="I11" s="166"/>
      <c r="J11" s="157"/>
      <c r="K11" s="161"/>
      <c r="L11" s="151" t="s">
        <v>167</v>
      </c>
      <c r="M11" s="152"/>
      <c r="N11" s="5"/>
      <c r="O11" s="46"/>
    </row>
    <row r="12" spans="1:17" ht="15" customHeight="1" x14ac:dyDescent="0.3">
      <c r="A12" s="174"/>
      <c r="B12" s="167" t="s">
        <v>128</v>
      </c>
      <c r="C12" s="169">
        <v>7.7</v>
      </c>
      <c r="D12" s="169">
        <v>15.2</v>
      </c>
      <c r="E12" s="165">
        <v>9.69</v>
      </c>
      <c r="F12" s="165">
        <v>37.270000000000003</v>
      </c>
      <c r="G12" s="165">
        <v>88.1</v>
      </c>
      <c r="H12" s="165">
        <f>F12*2-G12</f>
        <v>-13.559999999999988</v>
      </c>
      <c r="I12" s="166" t="str">
        <f>IF(H12&lt;0,"Underdose",IF(H12=0,"Optimum Dosage","Overdose"))</f>
        <v>Underdose</v>
      </c>
      <c r="J12" s="157"/>
      <c r="K12" s="161">
        <v>0.3</v>
      </c>
      <c r="L12" s="151" t="s">
        <v>168</v>
      </c>
      <c r="M12" s="152"/>
      <c r="N12" s="5"/>
      <c r="O12" s="46"/>
    </row>
    <row r="13" spans="1:17" ht="15" thickBot="1" x14ac:dyDescent="0.35">
      <c r="A13" s="175"/>
      <c r="B13" s="168"/>
      <c r="C13" s="170"/>
      <c r="D13" s="169"/>
      <c r="E13" s="171"/>
      <c r="F13" s="171"/>
      <c r="G13" s="171"/>
      <c r="H13" s="171"/>
      <c r="I13" s="172"/>
      <c r="J13" s="164"/>
      <c r="K13" s="162"/>
      <c r="L13" s="128" t="s">
        <v>170</v>
      </c>
      <c r="M13" s="129"/>
      <c r="N13" s="48"/>
      <c r="O13" s="49"/>
    </row>
    <row r="14" spans="1:17" ht="15" customHeight="1" x14ac:dyDescent="0.3">
      <c r="A14" s="173" t="s">
        <v>131</v>
      </c>
      <c r="B14" s="176" t="s">
        <v>126</v>
      </c>
      <c r="C14" s="177">
        <v>1.1399999999999999</v>
      </c>
      <c r="D14" s="177">
        <v>103</v>
      </c>
      <c r="E14" s="178"/>
      <c r="F14" s="178">
        <v>46.629166666666698</v>
      </c>
      <c r="G14" s="178">
        <v>54.631666666666597</v>
      </c>
      <c r="H14" s="178">
        <f>F14*2-G14</f>
        <v>38.6266666666668</v>
      </c>
      <c r="I14" s="179" t="str">
        <f>IF(H14&lt;0,"Underdose",IF(H14=0,"Optimum Dosage","Overdose"))</f>
        <v>Overdose</v>
      </c>
      <c r="J14" s="156"/>
      <c r="K14" s="163">
        <v>0.3</v>
      </c>
      <c r="L14" s="149" t="s">
        <v>164</v>
      </c>
      <c r="M14" s="150"/>
      <c r="N14" s="43">
        <v>240</v>
      </c>
      <c r="O14" s="44" t="s">
        <v>8</v>
      </c>
    </row>
    <row r="15" spans="1:17" x14ac:dyDescent="0.3">
      <c r="A15" s="174"/>
      <c r="B15" s="167"/>
      <c r="C15" s="169"/>
      <c r="D15" s="169">
        <v>-42.266666666666701</v>
      </c>
      <c r="E15" s="165"/>
      <c r="F15" s="165">
        <v>52.966666666666697</v>
      </c>
      <c r="G15" s="165">
        <v>35.296666666666603</v>
      </c>
      <c r="H15" s="165"/>
      <c r="I15" s="166"/>
      <c r="J15" s="157"/>
      <c r="K15" s="161"/>
      <c r="L15" s="151" t="s">
        <v>165</v>
      </c>
      <c r="M15" s="152"/>
      <c r="N15" s="5"/>
      <c r="O15" s="46"/>
    </row>
    <row r="16" spans="1:17" x14ac:dyDescent="0.3">
      <c r="A16" s="174"/>
      <c r="B16" s="167" t="s">
        <v>127</v>
      </c>
      <c r="C16" s="169">
        <v>1.1399999999999999</v>
      </c>
      <c r="D16" s="169">
        <v>40.9</v>
      </c>
      <c r="E16" s="165"/>
      <c r="F16" s="165">
        <v>29.338000000000001</v>
      </c>
      <c r="G16" s="165">
        <v>91.896000000000001</v>
      </c>
      <c r="H16" s="165">
        <f>F16*2-G16</f>
        <v>-33.22</v>
      </c>
      <c r="I16" s="166" t="str">
        <f>IF(H16&lt;0,"Underdose",IF(H16=0,"Optimum Dosage","Overdose"))</f>
        <v>Underdose</v>
      </c>
      <c r="J16" s="157">
        <v>0.35</v>
      </c>
      <c r="K16" s="161">
        <v>0.3</v>
      </c>
      <c r="L16" s="151" t="s">
        <v>166</v>
      </c>
      <c r="M16" s="152"/>
      <c r="N16" s="5"/>
      <c r="O16" s="46"/>
    </row>
    <row r="17" spans="1:15" x14ac:dyDescent="0.3">
      <c r="A17" s="174"/>
      <c r="B17" s="167"/>
      <c r="C17" s="169"/>
      <c r="D17" s="169">
        <v>-84.6666666666666</v>
      </c>
      <c r="E17" s="165"/>
      <c r="F17" s="165">
        <v>65.641666666666694</v>
      </c>
      <c r="G17" s="165">
        <v>-3.3733333333333602</v>
      </c>
      <c r="H17" s="165"/>
      <c r="I17" s="166"/>
      <c r="J17" s="157"/>
      <c r="K17" s="161"/>
      <c r="L17" s="151" t="s">
        <v>167</v>
      </c>
      <c r="M17" s="152"/>
      <c r="N17" s="5"/>
      <c r="O17" s="46"/>
    </row>
    <row r="18" spans="1:15" ht="15" customHeight="1" x14ac:dyDescent="0.3">
      <c r="A18" s="174"/>
      <c r="B18" s="167" t="s">
        <v>128</v>
      </c>
      <c r="C18" s="169">
        <v>1.1399999999999999</v>
      </c>
      <c r="D18" s="169">
        <v>38.700000000000003</v>
      </c>
      <c r="E18" s="165">
        <v>9.64</v>
      </c>
      <c r="F18" s="165">
        <v>30.242999999999999</v>
      </c>
      <c r="G18" s="165">
        <v>81.593999999999994</v>
      </c>
      <c r="H18" s="165">
        <f>F18*2-G18</f>
        <v>-21.107999999999997</v>
      </c>
      <c r="I18" s="166" t="str">
        <f>IF(H18&lt;0,"Underdose",IF(H18=0,"Optimum Dosage","Overdose"))</f>
        <v>Underdose</v>
      </c>
      <c r="J18" s="157">
        <v>0.3</v>
      </c>
      <c r="K18" s="161">
        <v>0.3</v>
      </c>
      <c r="L18" s="151" t="s">
        <v>168</v>
      </c>
      <c r="M18" s="152"/>
      <c r="N18" s="5"/>
      <c r="O18" s="46"/>
    </row>
    <row r="19" spans="1:15" ht="15" thickBot="1" x14ac:dyDescent="0.35">
      <c r="A19" s="175"/>
      <c r="B19" s="168"/>
      <c r="C19" s="169"/>
      <c r="D19" s="169"/>
      <c r="E19" s="171"/>
      <c r="F19" s="171"/>
      <c r="G19" s="171"/>
      <c r="H19" s="171"/>
      <c r="I19" s="172"/>
      <c r="J19" s="164"/>
      <c r="K19" s="162"/>
      <c r="L19" s="128" t="s">
        <v>170</v>
      </c>
      <c r="M19" s="129"/>
      <c r="N19" s="48"/>
      <c r="O19" s="49"/>
    </row>
    <row r="20" spans="1:15" ht="15" customHeight="1" x14ac:dyDescent="0.3">
      <c r="A20" s="173" t="s">
        <v>134</v>
      </c>
      <c r="B20" s="176" t="s">
        <v>126</v>
      </c>
      <c r="C20" s="177">
        <v>5</v>
      </c>
      <c r="D20" s="177">
        <v>105</v>
      </c>
      <c r="E20" s="178">
        <v>8.65</v>
      </c>
      <c r="F20" s="178">
        <v>12.5</v>
      </c>
      <c r="G20" s="178">
        <v>192.47</v>
      </c>
      <c r="H20" s="178">
        <f>F20*2-G20</f>
        <v>-167.47</v>
      </c>
      <c r="I20" s="179" t="str">
        <f>IF(H20&lt;0,"Underdose",IF(H20=0,"Optimum Dosage","Overdose"))</f>
        <v>Underdose</v>
      </c>
      <c r="J20" s="156"/>
      <c r="K20" s="163">
        <v>0.3</v>
      </c>
      <c r="L20" s="149" t="s">
        <v>164</v>
      </c>
      <c r="M20" s="150"/>
      <c r="N20" s="43">
        <v>240</v>
      </c>
      <c r="O20" s="44" t="s">
        <v>8</v>
      </c>
    </row>
    <row r="21" spans="1:15" x14ac:dyDescent="0.3">
      <c r="A21" s="174"/>
      <c r="B21" s="167"/>
      <c r="C21" s="169"/>
      <c r="D21" s="169"/>
      <c r="E21" s="165"/>
      <c r="F21" s="165"/>
      <c r="G21" s="165"/>
      <c r="H21" s="165"/>
      <c r="I21" s="166"/>
      <c r="J21" s="157"/>
      <c r="K21" s="161"/>
      <c r="L21" s="151" t="s">
        <v>165</v>
      </c>
      <c r="M21" s="152"/>
      <c r="N21" s="5"/>
      <c r="O21" s="46"/>
    </row>
    <row r="22" spans="1:15" x14ac:dyDescent="0.3">
      <c r="A22" s="174"/>
      <c r="B22" s="167" t="s">
        <v>127</v>
      </c>
      <c r="C22" s="169">
        <v>5</v>
      </c>
      <c r="D22" s="169">
        <v>14.8</v>
      </c>
      <c r="E22" s="165">
        <v>9.64</v>
      </c>
      <c r="F22" s="165">
        <v>31.47</v>
      </c>
      <c r="G22" s="165">
        <v>72.39</v>
      </c>
      <c r="H22" s="165">
        <f>F22*2-G22</f>
        <v>-9.4500000000000028</v>
      </c>
      <c r="I22" s="166" t="str">
        <f>IF(H22&lt;0,"Underdose",IF(H22=0,"Optimum Dosage","Overdose"))</f>
        <v>Underdose</v>
      </c>
      <c r="J22" s="157">
        <v>0.25</v>
      </c>
      <c r="K22" s="161">
        <v>0.3</v>
      </c>
      <c r="L22" s="151" t="s">
        <v>166</v>
      </c>
      <c r="M22" s="152"/>
      <c r="N22" s="5"/>
      <c r="O22" s="46"/>
    </row>
    <row r="23" spans="1:15" x14ac:dyDescent="0.3">
      <c r="A23" s="174"/>
      <c r="B23" s="167"/>
      <c r="C23" s="169"/>
      <c r="D23" s="169"/>
      <c r="E23" s="165"/>
      <c r="F23" s="165"/>
      <c r="G23" s="165"/>
      <c r="H23" s="165"/>
      <c r="I23" s="166"/>
      <c r="J23" s="157"/>
      <c r="K23" s="161"/>
      <c r="L23" s="151" t="s">
        <v>167</v>
      </c>
      <c r="M23" s="152"/>
      <c r="N23" s="5"/>
      <c r="O23" s="46"/>
    </row>
    <row r="24" spans="1:15" ht="15" customHeight="1" x14ac:dyDescent="0.3">
      <c r="A24" s="174"/>
      <c r="B24" s="167" t="s">
        <v>128</v>
      </c>
      <c r="C24" s="169">
        <v>5</v>
      </c>
      <c r="D24" s="169">
        <v>13.5</v>
      </c>
      <c r="E24" s="165">
        <v>9.6199999999999992</v>
      </c>
      <c r="F24" s="165">
        <v>29.25</v>
      </c>
      <c r="G24" s="165">
        <v>67.31</v>
      </c>
      <c r="H24" s="165">
        <f>F24*2-G24</f>
        <v>-8.8100000000000023</v>
      </c>
      <c r="I24" s="166" t="str">
        <f>IF(H24&lt;0,"Underdose",IF(H24=0,"Optimum Dosage","Overdose"))</f>
        <v>Underdose</v>
      </c>
      <c r="J24" s="157">
        <v>0.2</v>
      </c>
      <c r="K24" s="161">
        <v>0.3</v>
      </c>
      <c r="L24" s="151" t="s">
        <v>168</v>
      </c>
      <c r="M24" s="152"/>
      <c r="N24" s="5"/>
      <c r="O24" s="46"/>
    </row>
    <row r="25" spans="1:15" ht="15" thickBot="1" x14ac:dyDescent="0.35">
      <c r="A25" s="175"/>
      <c r="B25" s="168"/>
      <c r="C25" s="170"/>
      <c r="D25" s="169"/>
      <c r="E25" s="171"/>
      <c r="F25" s="171"/>
      <c r="G25" s="171"/>
      <c r="H25" s="171"/>
      <c r="I25" s="172"/>
      <c r="J25" s="164"/>
      <c r="K25" s="162"/>
      <c r="L25" s="128" t="s">
        <v>170</v>
      </c>
      <c r="M25" s="129"/>
      <c r="N25" s="48"/>
      <c r="O25" s="49"/>
    </row>
    <row r="26" spans="1:15" ht="15" customHeight="1" x14ac:dyDescent="0.3">
      <c r="A26" s="173" t="s">
        <v>135</v>
      </c>
      <c r="B26" s="176" t="s">
        <v>126</v>
      </c>
      <c r="C26" s="177">
        <v>5</v>
      </c>
      <c r="D26" s="177"/>
      <c r="E26" s="178"/>
      <c r="F26" s="178"/>
      <c r="G26" s="178">
        <v>200</v>
      </c>
      <c r="H26" s="178">
        <f>F26*2-G26</f>
        <v>-200</v>
      </c>
      <c r="I26" s="179" t="str">
        <f>IF(H26&lt;0,"Underdose",IF(H26=0,"Optimum Dosage","Overdose"))</f>
        <v>Underdose</v>
      </c>
      <c r="J26" s="156"/>
      <c r="K26" s="163">
        <v>0.4</v>
      </c>
      <c r="L26" s="149" t="s">
        <v>164</v>
      </c>
      <c r="M26" s="150"/>
      <c r="N26" s="43">
        <v>240</v>
      </c>
      <c r="O26" s="44" t="s">
        <v>8</v>
      </c>
    </row>
    <row r="27" spans="1:15" x14ac:dyDescent="0.3">
      <c r="A27" s="174"/>
      <c r="B27" s="167"/>
      <c r="C27" s="169"/>
      <c r="D27" s="169"/>
      <c r="E27" s="165"/>
      <c r="F27" s="165"/>
      <c r="G27" s="165"/>
      <c r="H27" s="165"/>
      <c r="I27" s="166"/>
      <c r="J27" s="157"/>
      <c r="K27" s="161"/>
      <c r="L27" s="151" t="s">
        <v>165</v>
      </c>
      <c r="M27" s="152"/>
      <c r="N27" s="5"/>
      <c r="O27" s="46"/>
    </row>
    <row r="28" spans="1:15" x14ac:dyDescent="0.3">
      <c r="A28" s="174"/>
      <c r="B28" s="167" t="s">
        <v>127</v>
      </c>
      <c r="C28" s="169">
        <v>5</v>
      </c>
      <c r="D28" s="169">
        <v>7.7</v>
      </c>
      <c r="E28" s="165">
        <v>9.5</v>
      </c>
      <c r="F28" s="165">
        <v>23.5</v>
      </c>
      <c r="G28" s="165">
        <v>56</v>
      </c>
      <c r="H28" s="165">
        <f>F28*2-G28</f>
        <v>-9</v>
      </c>
      <c r="I28" s="166" t="str">
        <f>IF(H28&lt;0,"Underdose",IF(H28=0,"Optimum Dosage","Overdose"))</f>
        <v>Underdose</v>
      </c>
      <c r="J28" s="157"/>
      <c r="K28" s="161">
        <v>0.4</v>
      </c>
      <c r="L28" s="151" t="s">
        <v>166</v>
      </c>
      <c r="M28" s="152"/>
      <c r="N28" s="5"/>
      <c r="O28" s="46"/>
    </row>
    <row r="29" spans="1:15" x14ac:dyDescent="0.3">
      <c r="A29" s="174"/>
      <c r="B29" s="167"/>
      <c r="C29" s="169"/>
      <c r="D29" s="169"/>
      <c r="E29" s="165"/>
      <c r="F29" s="165"/>
      <c r="G29" s="165"/>
      <c r="H29" s="165"/>
      <c r="I29" s="166"/>
      <c r="J29" s="157"/>
      <c r="K29" s="161"/>
      <c r="L29" s="151" t="s">
        <v>167</v>
      </c>
      <c r="M29" s="152"/>
      <c r="N29" s="5"/>
      <c r="O29" s="46"/>
    </row>
    <row r="30" spans="1:15" ht="15" customHeight="1" x14ac:dyDescent="0.3">
      <c r="A30" s="174"/>
      <c r="B30" s="167" t="s">
        <v>128</v>
      </c>
      <c r="C30" s="169">
        <v>5</v>
      </c>
      <c r="D30" s="169">
        <v>13.4</v>
      </c>
      <c r="E30" s="165">
        <v>9.5</v>
      </c>
      <c r="F30" s="165">
        <v>25</v>
      </c>
      <c r="G30" s="165">
        <v>59</v>
      </c>
      <c r="H30" s="165">
        <f>F30*2-G30</f>
        <v>-9</v>
      </c>
      <c r="I30" s="166" t="str">
        <f>IF(H30&lt;0,"Underdose",IF(H30=0,"Optimum Dosage","Overdose"))</f>
        <v>Underdose</v>
      </c>
      <c r="J30" s="157"/>
      <c r="K30" s="161">
        <v>0.4</v>
      </c>
      <c r="L30" s="151" t="s">
        <v>168</v>
      </c>
      <c r="M30" s="152"/>
      <c r="N30" s="5"/>
      <c r="O30" s="46"/>
    </row>
    <row r="31" spans="1:15" ht="15" thickBot="1" x14ac:dyDescent="0.35">
      <c r="A31" s="175"/>
      <c r="B31" s="168"/>
      <c r="C31" s="170"/>
      <c r="D31" s="170"/>
      <c r="E31" s="171"/>
      <c r="F31" s="171"/>
      <c r="G31" s="171"/>
      <c r="H31" s="171"/>
      <c r="I31" s="172"/>
      <c r="J31" s="164"/>
      <c r="K31" s="162"/>
      <c r="L31" s="128" t="s">
        <v>170</v>
      </c>
      <c r="M31" s="129"/>
      <c r="N31" s="48"/>
      <c r="O31" s="49"/>
    </row>
  </sheetData>
  <mergeCells count="182">
    <mergeCell ref="B6:B7"/>
    <mergeCell ref="F4:F5"/>
    <mergeCell ref="G4:G5"/>
    <mergeCell ref="H4:H5"/>
    <mergeCell ref="I4:I5"/>
    <mergeCell ref="J4:J5"/>
    <mergeCell ref="B4:B5"/>
    <mergeCell ref="A2:A7"/>
    <mergeCell ref="E2:E3"/>
    <mergeCell ref="D2:D3"/>
    <mergeCell ref="C2:C3"/>
    <mergeCell ref="F6:F7"/>
    <mergeCell ref="G6:G7"/>
    <mergeCell ref="E6:E7"/>
    <mergeCell ref="D6:D7"/>
    <mergeCell ref="C6:C7"/>
    <mergeCell ref="E4:E5"/>
    <mergeCell ref="F2:F3"/>
    <mergeCell ref="G2:G3"/>
    <mergeCell ref="H2:H3"/>
    <mergeCell ref="I2:I3"/>
    <mergeCell ref="J2:J3"/>
    <mergeCell ref="B2:B3"/>
    <mergeCell ref="H10:H11"/>
    <mergeCell ref="I10:I11"/>
    <mergeCell ref="J10:J11"/>
    <mergeCell ref="D4:D5"/>
    <mergeCell ref="C4:C5"/>
    <mergeCell ref="F8:F9"/>
    <mergeCell ref="G8:G9"/>
    <mergeCell ref="H8:H9"/>
    <mergeCell ref="I8:I9"/>
    <mergeCell ref="H6:H7"/>
    <mergeCell ref="I6:I7"/>
    <mergeCell ref="J6:J7"/>
    <mergeCell ref="E12:E13"/>
    <mergeCell ref="B10:B11"/>
    <mergeCell ref="C10:C11"/>
    <mergeCell ref="D10:D11"/>
    <mergeCell ref="E10:E11"/>
    <mergeCell ref="F12:F13"/>
    <mergeCell ref="G12:G13"/>
    <mergeCell ref="E8:E9"/>
    <mergeCell ref="F10:F11"/>
    <mergeCell ref="G10:G11"/>
    <mergeCell ref="E14:E15"/>
    <mergeCell ref="F14:F15"/>
    <mergeCell ref="G14:G15"/>
    <mergeCell ref="H14:H15"/>
    <mergeCell ref="I14:I15"/>
    <mergeCell ref="A8:A13"/>
    <mergeCell ref="A14:A19"/>
    <mergeCell ref="B14:B15"/>
    <mergeCell ref="C14:C15"/>
    <mergeCell ref="D14:D15"/>
    <mergeCell ref="B16:B17"/>
    <mergeCell ref="C16:C17"/>
    <mergeCell ref="D16:D17"/>
    <mergeCell ref="B18:B19"/>
    <mergeCell ref="C18:C19"/>
    <mergeCell ref="B8:B9"/>
    <mergeCell ref="C8:C9"/>
    <mergeCell ref="D8:D9"/>
    <mergeCell ref="D18:D19"/>
    <mergeCell ref="H12:H13"/>
    <mergeCell ref="I12:I13"/>
    <mergeCell ref="B12:B13"/>
    <mergeCell ref="C12:C13"/>
    <mergeCell ref="D12:D13"/>
    <mergeCell ref="E18:E19"/>
    <mergeCell ref="F18:F19"/>
    <mergeCell ref="G18:G19"/>
    <mergeCell ref="H18:H19"/>
    <mergeCell ref="I18:I19"/>
    <mergeCell ref="E16:E17"/>
    <mergeCell ref="F16:F17"/>
    <mergeCell ref="G16:G17"/>
    <mergeCell ref="H16:H17"/>
    <mergeCell ref="I16:I17"/>
    <mergeCell ref="G20:G21"/>
    <mergeCell ref="H20:H21"/>
    <mergeCell ref="I20:I21"/>
    <mergeCell ref="B24:B25"/>
    <mergeCell ref="C24:C25"/>
    <mergeCell ref="D24:D25"/>
    <mergeCell ref="E24:E25"/>
    <mergeCell ref="F24:F25"/>
    <mergeCell ref="G24:G25"/>
    <mergeCell ref="H24:H25"/>
    <mergeCell ref="B20:B21"/>
    <mergeCell ref="C20:C21"/>
    <mergeCell ref="D20:D21"/>
    <mergeCell ref="E20:E21"/>
    <mergeCell ref="F20:F21"/>
    <mergeCell ref="I22:I23"/>
    <mergeCell ref="A26:A31"/>
    <mergeCell ref="B26:B27"/>
    <mergeCell ref="C26:C27"/>
    <mergeCell ref="D26:D27"/>
    <mergeCell ref="E26:E27"/>
    <mergeCell ref="F26:F27"/>
    <mergeCell ref="I24:I25"/>
    <mergeCell ref="B22:B23"/>
    <mergeCell ref="C22:C23"/>
    <mergeCell ref="D22:D23"/>
    <mergeCell ref="E22:E23"/>
    <mergeCell ref="F22:F23"/>
    <mergeCell ref="G22:G23"/>
    <mergeCell ref="H22:H23"/>
    <mergeCell ref="A20:A25"/>
    <mergeCell ref="G26:G27"/>
    <mergeCell ref="H26:H27"/>
    <mergeCell ref="I26:I27"/>
    <mergeCell ref="B28:B29"/>
    <mergeCell ref="C28:C29"/>
    <mergeCell ref="D28:D29"/>
    <mergeCell ref="E28:E29"/>
    <mergeCell ref="F28:F29"/>
    <mergeCell ref="G28:G29"/>
    <mergeCell ref="H28:H29"/>
    <mergeCell ref="I28:I29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20:K21"/>
    <mergeCell ref="K22:K23"/>
    <mergeCell ref="K24:K25"/>
    <mergeCell ref="K26:K27"/>
    <mergeCell ref="K28:K29"/>
    <mergeCell ref="K30:K31"/>
    <mergeCell ref="J24:J25"/>
    <mergeCell ref="J26:J27"/>
    <mergeCell ref="J28:J29"/>
    <mergeCell ref="J22:J23"/>
    <mergeCell ref="K2:K3"/>
    <mergeCell ref="K4:K5"/>
    <mergeCell ref="K6:K7"/>
    <mergeCell ref="K8:K9"/>
    <mergeCell ref="K10:K11"/>
    <mergeCell ref="K12:K13"/>
    <mergeCell ref="K14:K15"/>
    <mergeCell ref="J8:J9"/>
    <mergeCell ref="K16:K17"/>
    <mergeCell ref="J14:J15"/>
    <mergeCell ref="J16:J17"/>
    <mergeCell ref="J12:J13"/>
    <mergeCell ref="J20:J21"/>
    <mergeCell ref="L14:M14"/>
    <mergeCell ref="L15:M15"/>
    <mergeCell ref="L16:M16"/>
    <mergeCell ref="L17:M17"/>
    <mergeCell ref="L18:M18"/>
    <mergeCell ref="L8:M8"/>
    <mergeCell ref="L9:M9"/>
    <mergeCell ref="L10:M10"/>
    <mergeCell ref="L11:M11"/>
    <mergeCell ref="L12:M12"/>
    <mergeCell ref="J18:J19"/>
    <mergeCell ref="K18:K19"/>
    <mergeCell ref="P1:Q1"/>
    <mergeCell ref="L26:M26"/>
    <mergeCell ref="L27:M27"/>
    <mergeCell ref="L28:M28"/>
    <mergeCell ref="L29:M29"/>
    <mergeCell ref="L30:M30"/>
    <mergeCell ref="L20:M20"/>
    <mergeCell ref="L21:M21"/>
    <mergeCell ref="L22:M22"/>
    <mergeCell ref="L23:M23"/>
    <mergeCell ref="L24:M24"/>
    <mergeCell ref="L1:O1"/>
    <mergeCell ref="L2:M2"/>
    <mergeCell ref="L3:M3"/>
    <mergeCell ref="L4:M4"/>
    <mergeCell ref="L5:M5"/>
    <mergeCell ref="L6:M6"/>
  </mergeCells>
  <conditionalFormatting sqref="D4:D5">
    <cfRule type="cellIs" dxfId="5" priority="6" operator="greaterThan">
      <formula>15</formula>
    </cfRule>
  </conditionalFormatting>
  <conditionalFormatting sqref="D6:D7">
    <cfRule type="cellIs" dxfId="4" priority="5" operator="greaterThan">
      <formula>15</formula>
    </cfRule>
  </conditionalFormatting>
  <conditionalFormatting sqref="D10:D13">
    <cfRule type="cellIs" dxfId="3" priority="4" operator="greaterThan">
      <formula>15</formula>
    </cfRule>
  </conditionalFormatting>
  <conditionalFormatting sqref="D16:D19">
    <cfRule type="cellIs" dxfId="2" priority="3" operator="greaterThan">
      <formula>15</formula>
    </cfRule>
  </conditionalFormatting>
  <conditionalFormatting sqref="D22:D25">
    <cfRule type="cellIs" dxfId="1" priority="2" operator="greaterThan">
      <formula>15</formula>
    </cfRule>
  </conditionalFormatting>
  <conditionalFormatting sqref="C18:C19">
    <cfRule type="cellIs" dxfId="0" priority="1" operator="greaterThan">
      <formula>15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-0.249977111117893"/>
  </sheetPr>
  <dimension ref="A1:S46"/>
  <sheetViews>
    <sheetView showGridLines="0" tabSelected="1" topLeftCell="A16" zoomScale="85" zoomScaleNormal="85" workbookViewId="0">
      <selection activeCell="G43" sqref="G43"/>
    </sheetView>
  </sheetViews>
  <sheetFormatPr defaultRowHeight="14.4" x14ac:dyDescent="0.3"/>
  <cols>
    <col min="1" max="1" width="23.88671875" customWidth="1"/>
    <col min="2" max="2" width="17.5546875" customWidth="1"/>
    <col min="3" max="3" width="14" customWidth="1"/>
    <col min="4" max="4" width="13.6640625" customWidth="1"/>
    <col min="5" max="7" width="9.109375" customWidth="1"/>
  </cols>
  <sheetData>
    <row r="1" spans="1:3" x14ac:dyDescent="0.3">
      <c r="A1" s="180" t="s">
        <v>0</v>
      </c>
      <c r="B1" s="180"/>
      <c r="C1" s="180"/>
    </row>
    <row r="2" spans="1:3" x14ac:dyDescent="0.3">
      <c r="A2" s="5" t="s">
        <v>3</v>
      </c>
      <c r="B2" s="5">
        <v>18.5</v>
      </c>
      <c r="C2" s="5" t="s">
        <v>5</v>
      </c>
    </row>
    <row r="3" spans="1:3" x14ac:dyDescent="0.3">
      <c r="A3" s="5" t="s">
        <v>4</v>
      </c>
      <c r="B3" s="94">
        <v>5.2826885420713836</v>
      </c>
      <c r="C3" s="5" t="s">
        <v>5</v>
      </c>
    </row>
    <row r="4" spans="1:3" x14ac:dyDescent="0.3">
      <c r="A4" s="5" t="s">
        <v>1</v>
      </c>
      <c r="B4" s="8">
        <f>(PI()/4)*B2^2</f>
        <v>268.80252142277669</v>
      </c>
      <c r="C4" s="5" t="s">
        <v>6</v>
      </c>
    </row>
    <row r="5" spans="1:3" x14ac:dyDescent="0.3">
      <c r="A5" s="5" t="s">
        <v>2</v>
      </c>
      <c r="B5" s="8">
        <f>B4*B3</f>
        <v>1420</v>
      </c>
      <c r="C5" s="5" t="s">
        <v>7</v>
      </c>
    </row>
    <row r="16" spans="1:3" x14ac:dyDescent="0.3">
      <c r="A16" s="180" t="s">
        <v>16</v>
      </c>
      <c r="B16" s="180"/>
      <c r="C16" s="180"/>
    </row>
    <row r="17" spans="1:19" x14ac:dyDescent="0.3">
      <c r="A17" s="5" t="s">
        <v>15</v>
      </c>
      <c r="B17" s="6">
        <v>250</v>
      </c>
      <c r="C17" s="7" t="s">
        <v>8</v>
      </c>
    </row>
    <row r="18" spans="1:19" x14ac:dyDescent="0.3">
      <c r="A18" s="5"/>
      <c r="B18" s="5">
        <f>B17*3600</f>
        <v>900000</v>
      </c>
      <c r="C18" s="7" t="s">
        <v>13</v>
      </c>
    </row>
    <row r="19" spans="1:19" x14ac:dyDescent="0.3">
      <c r="A19" s="5"/>
      <c r="B19" s="5">
        <f>B18/1000</f>
        <v>900</v>
      </c>
      <c r="C19" s="7" t="s">
        <v>9</v>
      </c>
    </row>
    <row r="20" spans="1:19" x14ac:dyDescent="0.3">
      <c r="A20" s="5" t="s">
        <v>17</v>
      </c>
      <c r="B20" s="5">
        <f>B18/1000/2</f>
        <v>450</v>
      </c>
      <c r="C20" s="7" t="s">
        <v>9</v>
      </c>
    </row>
    <row r="21" spans="1:19" x14ac:dyDescent="0.3">
      <c r="A21" s="5" t="s">
        <v>53</v>
      </c>
      <c r="B21" s="8">
        <f>B20/((PI()/4)*0.45^2)</f>
        <v>2829.4212105225834</v>
      </c>
      <c r="C21" s="7" t="s">
        <v>11</v>
      </c>
    </row>
    <row r="22" spans="1:19" ht="15" thickBot="1" x14ac:dyDescent="0.35">
      <c r="A22" s="5"/>
      <c r="B22" s="14">
        <f>B21/3600</f>
        <v>0.7859503362562732</v>
      </c>
      <c r="C22" s="7" t="s">
        <v>12</v>
      </c>
    </row>
    <row r="23" spans="1:19" x14ac:dyDescent="0.3">
      <c r="A23" s="5" t="s">
        <v>54</v>
      </c>
      <c r="B23" s="13">
        <f>B5/B20</f>
        <v>3.1555555555555554</v>
      </c>
      <c r="C23" s="7" t="s">
        <v>10</v>
      </c>
      <c r="K23" s="92" t="s">
        <v>198</v>
      </c>
      <c r="L23" s="217"/>
      <c r="M23" s="217"/>
      <c r="N23" s="217"/>
      <c r="O23" s="217"/>
      <c r="P23" s="217"/>
      <c r="Q23" s="217"/>
      <c r="R23" s="217"/>
      <c r="S23" s="218"/>
    </row>
    <row r="24" spans="1:19" x14ac:dyDescent="0.3">
      <c r="B24" s="1"/>
      <c r="G24" s="2"/>
      <c r="K24" s="96" t="s">
        <v>199</v>
      </c>
      <c r="L24" s="219"/>
      <c r="M24" s="219"/>
      <c r="N24" s="219"/>
      <c r="O24" s="219"/>
      <c r="P24" s="219"/>
      <c r="Q24" s="219"/>
      <c r="R24" s="219"/>
      <c r="S24" s="97"/>
    </row>
    <row r="25" spans="1:19" x14ac:dyDescent="0.3">
      <c r="A25" s="180" t="s">
        <v>24</v>
      </c>
      <c r="B25" s="180"/>
      <c r="C25" s="180"/>
      <c r="G25" s="4"/>
      <c r="K25" s="96" t="s">
        <v>200</v>
      </c>
      <c r="L25" s="219"/>
      <c r="M25" s="219"/>
      <c r="N25" s="219"/>
      <c r="O25" s="219"/>
      <c r="P25" s="219"/>
      <c r="Q25" s="219"/>
      <c r="R25" s="219"/>
      <c r="S25" s="97"/>
    </row>
    <row r="26" spans="1:19" x14ac:dyDescent="0.3">
      <c r="A26" s="5" t="s">
        <v>20</v>
      </c>
      <c r="B26" s="183" t="s">
        <v>18</v>
      </c>
      <c r="C26" s="184"/>
      <c r="K26" s="96" t="s">
        <v>199</v>
      </c>
      <c r="L26" s="219"/>
      <c r="M26" s="219"/>
      <c r="N26" s="219"/>
      <c r="O26" s="219"/>
      <c r="P26" s="219"/>
      <c r="Q26" s="219"/>
      <c r="R26" s="219"/>
      <c r="S26" s="97"/>
    </row>
    <row r="27" spans="1:19" ht="34.5" customHeight="1" x14ac:dyDescent="0.3">
      <c r="A27" s="5" t="s">
        <v>19</v>
      </c>
      <c r="B27" s="181" t="s">
        <v>23</v>
      </c>
      <c r="C27" s="182"/>
      <c r="D27" s="135" t="s">
        <v>173</v>
      </c>
      <c r="K27" s="96"/>
      <c r="L27" s="219"/>
      <c r="M27" s="219"/>
      <c r="N27" s="219"/>
      <c r="O27" s="219"/>
      <c r="P27" s="219"/>
      <c r="Q27" s="219"/>
      <c r="R27" s="219"/>
      <c r="S27" s="97"/>
    </row>
    <row r="28" spans="1:19" x14ac:dyDescent="0.3">
      <c r="A28" s="5" t="s">
        <v>25</v>
      </c>
      <c r="B28" s="5">
        <v>500000</v>
      </c>
      <c r="C28" s="5" t="s">
        <v>14</v>
      </c>
      <c r="D28" s="5"/>
      <c r="K28" s="96" t="s">
        <v>199</v>
      </c>
      <c r="L28" s="219"/>
      <c r="M28" s="219"/>
      <c r="N28" s="219"/>
      <c r="O28" s="219"/>
      <c r="P28" s="219"/>
      <c r="Q28" s="219"/>
      <c r="R28" s="219"/>
      <c r="S28" s="97"/>
    </row>
    <row r="29" spans="1:19" x14ac:dyDescent="0.3">
      <c r="A29" s="5" t="s">
        <v>21</v>
      </c>
      <c r="B29" s="9">
        <v>0.19008000000000005</v>
      </c>
      <c r="C29" s="5" t="s">
        <v>26</v>
      </c>
      <c r="D29" s="10">
        <f>D30/50</f>
        <v>0.10400000000000001</v>
      </c>
      <c r="K29" s="96" t="s">
        <v>201</v>
      </c>
      <c r="L29" s="219"/>
      <c r="M29" s="219"/>
      <c r="N29" s="219"/>
      <c r="O29" s="219"/>
      <c r="P29" s="219"/>
      <c r="Q29" s="219"/>
      <c r="R29" s="219"/>
      <c r="S29" s="97"/>
    </row>
    <row r="30" spans="1:19" x14ac:dyDescent="0.3">
      <c r="A30" s="5" t="s">
        <v>22</v>
      </c>
      <c r="B30" s="5">
        <f>B29*50</f>
        <v>9.5040000000000031</v>
      </c>
      <c r="C30" s="5" t="s">
        <v>13</v>
      </c>
      <c r="D30" s="136">
        <v>5.2</v>
      </c>
      <c r="E30" s="134" t="s">
        <v>13</v>
      </c>
      <c r="K30" s="96" t="s">
        <v>202</v>
      </c>
      <c r="L30" s="219"/>
      <c r="M30" s="219"/>
      <c r="N30" s="219"/>
      <c r="O30" s="219"/>
      <c r="P30" s="219"/>
      <c r="Q30" s="219"/>
      <c r="R30" s="219"/>
      <c r="S30" s="97"/>
    </row>
    <row r="31" spans="1:19" x14ac:dyDescent="0.3">
      <c r="A31" s="5" t="s">
        <v>52</v>
      </c>
      <c r="B31" s="12">
        <f>$B$28*B30/$B$18</f>
        <v>5.280000000000002</v>
      </c>
      <c r="C31" s="5" t="s">
        <v>14</v>
      </c>
      <c r="D31" s="12">
        <f>$B$28*D30/$B$18</f>
        <v>2.8888888888888888</v>
      </c>
      <c r="E31" s="134" t="s">
        <v>14</v>
      </c>
      <c r="K31" s="96" t="s">
        <v>203</v>
      </c>
      <c r="L31" s="219"/>
      <c r="M31" s="219"/>
      <c r="N31" s="219"/>
      <c r="O31" s="219"/>
      <c r="P31" s="219"/>
      <c r="Q31" s="219"/>
      <c r="R31" s="219"/>
      <c r="S31" s="97"/>
    </row>
    <row r="32" spans="1:19" x14ac:dyDescent="0.3">
      <c r="B32" s="3"/>
      <c r="K32" s="96" t="s">
        <v>204</v>
      </c>
      <c r="L32" s="219"/>
      <c r="M32" s="219"/>
      <c r="N32" s="219"/>
      <c r="O32" s="219"/>
      <c r="P32" s="219"/>
      <c r="Q32" s="219"/>
      <c r="R32" s="219"/>
      <c r="S32" s="97"/>
    </row>
    <row r="33" spans="1:19" x14ac:dyDescent="0.3">
      <c r="A33" s="180" t="s">
        <v>41</v>
      </c>
      <c r="B33" s="180"/>
      <c r="C33" s="180"/>
      <c r="K33" s="96" t="s">
        <v>205</v>
      </c>
      <c r="L33" s="219"/>
      <c r="M33" s="219"/>
      <c r="N33" s="219"/>
      <c r="O33" s="219"/>
      <c r="P33" s="219"/>
      <c r="Q33" s="219"/>
      <c r="R33" s="219"/>
      <c r="S33" s="97"/>
    </row>
    <row r="34" spans="1:19" x14ac:dyDescent="0.3">
      <c r="A34" s="5" t="s">
        <v>27</v>
      </c>
      <c r="B34" s="180" t="s">
        <v>38</v>
      </c>
      <c r="C34" s="180"/>
      <c r="K34" s="96" t="s">
        <v>206</v>
      </c>
      <c r="L34" s="219"/>
      <c r="M34" s="219"/>
      <c r="N34" s="219"/>
      <c r="O34" s="219"/>
      <c r="P34" s="219"/>
      <c r="Q34" s="219"/>
      <c r="R34" s="219"/>
      <c r="S34" s="97"/>
    </row>
    <row r="35" spans="1:19" x14ac:dyDescent="0.3">
      <c r="A35" s="5" t="s">
        <v>40</v>
      </c>
      <c r="B35" s="10">
        <v>0.7</v>
      </c>
      <c r="C35" s="5" t="s">
        <v>39</v>
      </c>
      <c r="K35" s="96" t="s">
        <v>207</v>
      </c>
      <c r="L35" s="219"/>
      <c r="M35" s="219"/>
      <c r="N35" s="219"/>
      <c r="O35" s="219"/>
      <c r="P35" s="219"/>
      <c r="Q35" s="219"/>
      <c r="R35" s="219"/>
      <c r="S35" s="97"/>
    </row>
    <row r="36" spans="1:19" x14ac:dyDescent="0.3">
      <c r="A36" s="5" t="s">
        <v>28</v>
      </c>
      <c r="B36" s="9">
        <v>0.86349258036005028</v>
      </c>
      <c r="C36" s="5" t="s">
        <v>29</v>
      </c>
      <c r="K36" s="96" t="s">
        <v>208</v>
      </c>
      <c r="L36" s="219"/>
      <c r="M36" s="219"/>
      <c r="N36" s="219"/>
      <c r="O36" s="219"/>
      <c r="P36" s="219"/>
      <c r="Q36" s="219"/>
      <c r="R36" s="219"/>
      <c r="S36" s="97"/>
    </row>
    <row r="37" spans="1:19" x14ac:dyDescent="0.3">
      <c r="A37" s="5" t="s">
        <v>31</v>
      </c>
      <c r="B37" s="11">
        <f>B36*B35*400</f>
        <v>241.77792250081404</v>
      </c>
      <c r="C37" s="5" t="s">
        <v>30</v>
      </c>
      <c r="K37" s="96" t="s">
        <v>201</v>
      </c>
      <c r="L37" s="219"/>
      <c r="M37" s="219"/>
      <c r="N37" s="219"/>
      <c r="O37" s="219"/>
      <c r="P37" s="219"/>
      <c r="Q37" s="219"/>
      <c r="R37" s="219"/>
      <c r="S37" s="97"/>
    </row>
    <row r="38" spans="1:19" x14ac:dyDescent="0.3">
      <c r="A38" s="5" t="s">
        <v>32</v>
      </c>
      <c r="B38" s="93">
        <f>Flowrates!G4</f>
        <v>34104.000000000007</v>
      </c>
      <c r="C38" s="5" t="s">
        <v>13</v>
      </c>
      <c r="K38" s="96" t="s">
        <v>209</v>
      </c>
      <c r="L38" s="219"/>
      <c r="M38" s="219"/>
      <c r="N38" s="219"/>
      <c r="O38" s="219"/>
      <c r="P38" s="219"/>
      <c r="Q38" s="219"/>
      <c r="R38" s="219"/>
      <c r="S38" s="97"/>
    </row>
    <row r="39" spans="1:19" x14ac:dyDescent="0.3">
      <c r="A39" s="5" t="s">
        <v>33</v>
      </c>
      <c r="B39" s="83">
        <f>(B37/B38)*1000</f>
        <v>7.0894300522171596</v>
      </c>
      <c r="C39" s="5" t="s">
        <v>34</v>
      </c>
      <c r="K39" s="96" t="s">
        <v>210</v>
      </c>
      <c r="L39" s="219"/>
      <c r="M39" s="219"/>
      <c r="N39" s="219"/>
      <c r="O39" s="219"/>
      <c r="P39" s="219"/>
      <c r="Q39" s="219"/>
      <c r="R39" s="219"/>
      <c r="S39" s="97"/>
    </row>
    <row r="40" spans="1:19" x14ac:dyDescent="0.3">
      <c r="A40" s="5" t="s">
        <v>42</v>
      </c>
      <c r="B40" s="94">
        <f>B39*1000</f>
        <v>7089.4300522171598</v>
      </c>
      <c r="C40" s="5" t="s">
        <v>35</v>
      </c>
      <c r="K40" s="96" t="s">
        <v>211</v>
      </c>
      <c r="L40" s="219"/>
      <c r="M40" s="219"/>
      <c r="N40" s="219"/>
      <c r="O40" s="219"/>
      <c r="P40" s="219"/>
      <c r="Q40" s="219"/>
      <c r="R40" s="219"/>
      <c r="S40" s="97"/>
    </row>
    <row r="41" spans="1:19" x14ac:dyDescent="0.3">
      <c r="A41" s="5" t="s">
        <v>36</v>
      </c>
      <c r="B41" s="93">
        <f>Flowrates!G5</f>
        <v>39600</v>
      </c>
      <c r="C41" s="5" t="s">
        <v>13</v>
      </c>
      <c r="K41" s="96" t="s">
        <v>212</v>
      </c>
      <c r="L41" s="219"/>
      <c r="M41" s="219"/>
      <c r="N41" s="219"/>
      <c r="O41" s="219"/>
      <c r="P41" s="219"/>
      <c r="Q41" s="219"/>
      <c r="R41" s="219"/>
      <c r="S41" s="97"/>
    </row>
    <row r="42" spans="1:19" x14ac:dyDescent="0.3">
      <c r="A42" s="5" t="s">
        <v>197</v>
      </c>
      <c r="B42" s="8">
        <f>(B40*(B38/2))/(B41)</f>
        <v>3052.7515467274507</v>
      </c>
      <c r="C42" s="5" t="s">
        <v>35</v>
      </c>
      <c r="D42" t="s">
        <v>43</v>
      </c>
      <c r="K42" s="96" t="s">
        <v>213</v>
      </c>
      <c r="L42" s="219"/>
      <c r="M42" s="219"/>
      <c r="N42" s="219"/>
      <c r="O42" s="219"/>
      <c r="P42" s="219"/>
      <c r="Q42" s="219"/>
      <c r="R42" s="219"/>
      <c r="S42" s="97"/>
    </row>
    <row r="43" spans="1:19" x14ac:dyDescent="0.3">
      <c r="A43" s="5" t="s">
        <v>37</v>
      </c>
      <c r="B43" s="13">
        <f>((B41+B38)*$B$42)/($B$20*1000)</f>
        <v>500.00000000000006</v>
      </c>
      <c r="C43" s="5" t="s">
        <v>14</v>
      </c>
      <c r="D43" t="s">
        <v>43</v>
      </c>
      <c r="K43" s="96"/>
      <c r="L43" s="219"/>
      <c r="M43" s="219"/>
      <c r="N43" s="219"/>
      <c r="O43" s="219"/>
      <c r="P43" s="219"/>
      <c r="Q43" s="219"/>
      <c r="R43" s="219"/>
      <c r="S43" s="97"/>
    </row>
    <row r="44" spans="1:19" x14ac:dyDescent="0.3">
      <c r="A44" s="95" t="s">
        <v>196</v>
      </c>
      <c r="B44" s="13">
        <f>(Flowrates!G6*$B$42)/($B$20*1000)</f>
        <v>25.887333116248779</v>
      </c>
      <c r="C44" s="95" t="s">
        <v>14</v>
      </c>
      <c r="K44" s="96"/>
      <c r="L44" s="219"/>
      <c r="M44" s="219"/>
      <c r="N44" s="219"/>
      <c r="O44" s="219"/>
      <c r="P44" s="219"/>
      <c r="Q44" s="219"/>
      <c r="R44" s="219"/>
      <c r="S44" s="97"/>
    </row>
    <row r="45" spans="1:19" x14ac:dyDescent="0.3">
      <c r="K45" s="96" t="s">
        <v>210</v>
      </c>
      <c r="L45" s="219"/>
      <c r="M45" s="219"/>
      <c r="N45" s="219"/>
      <c r="O45" s="219"/>
      <c r="P45" s="219"/>
      <c r="Q45" s="219"/>
      <c r="R45" s="219"/>
      <c r="S45" s="97"/>
    </row>
    <row r="46" spans="1:19" ht="15" thickBot="1" x14ac:dyDescent="0.35">
      <c r="K46" s="220"/>
      <c r="L46" s="221"/>
      <c r="M46" s="221"/>
      <c r="N46" s="221"/>
      <c r="O46" s="221"/>
      <c r="P46" s="221"/>
      <c r="Q46" s="221"/>
      <c r="R46" s="221"/>
      <c r="S46" s="99"/>
    </row>
  </sheetData>
  <mergeCells count="7">
    <mergeCell ref="A1:C1"/>
    <mergeCell ref="B34:C34"/>
    <mergeCell ref="A33:C33"/>
    <mergeCell ref="A16:C16"/>
    <mergeCell ref="A25:C25"/>
    <mergeCell ref="B27:C27"/>
    <mergeCell ref="B26:C26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4</xdr:col>
                <xdr:colOff>30480</xdr:colOff>
                <xdr:row>35</xdr:row>
                <xdr:rowOff>68580</xdr:rowOff>
              </from>
              <to>
                <xdr:col>6</xdr:col>
                <xdr:colOff>38100</xdr:colOff>
                <xdr:row>39</xdr:row>
                <xdr:rowOff>60960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 moveWithCells="1">
              <from>
                <xdr:col>4</xdr:col>
                <xdr:colOff>259080</xdr:colOff>
                <xdr:row>25</xdr:row>
                <xdr:rowOff>137160</xdr:rowOff>
              </from>
              <to>
                <xdr:col>6</xdr:col>
                <xdr:colOff>266700</xdr:colOff>
                <xdr:row>28</xdr:row>
                <xdr:rowOff>60960</xdr:rowOff>
              </to>
            </anchor>
          </controlPr>
        </control>
      </mc:Choice>
      <mc:Fallback>
        <control shapeId="102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theme="2" tint="-0.499984740745262"/>
  </sheetPr>
  <dimension ref="A1:G83"/>
  <sheetViews>
    <sheetView topLeftCell="A31" zoomScale="70" zoomScaleNormal="70" workbookViewId="0">
      <selection activeCell="G67" sqref="G67"/>
    </sheetView>
  </sheetViews>
  <sheetFormatPr defaultRowHeight="14.4" x14ac:dyDescent="0.3"/>
  <cols>
    <col min="1" max="1" width="19.109375" customWidth="1"/>
    <col min="2" max="2" width="15.44140625" customWidth="1"/>
    <col min="3" max="3" width="36.109375" customWidth="1"/>
    <col min="4" max="4" width="20.5546875" customWidth="1"/>
    <col min="5" max="5" width="22.6640625" customWidth="1"/>
    <col min="6" max="6" width="16.33203125" customWidth="1"/>
    <col min="7" max="7" width="15.6640625" customWidth="1"/>
  </cols>
  <sheetData>
    <row r="1" spans="1:7" x14ac:dyDescent="0.3">
      <c r="A1" t="s">
        <v>175</v>
      </c>
      <c r="D1" s="15" t="s">
        <v>45</v>
      </c>
      <c r="E1" s="15" t="s">
        <v>44</v>
      </c>
      <c r="F1" t="s">
        <v>176</v>
      </c>
    </row>
    <row r="2" spans="1:7" x14ac:dyDescent="0.3">
      <c r="A2" s="116" t="s">
        <v>177</v>
      </c>
      <c r="C2" s="5" t="s">
        <v>178</v>
      </c>
      <c r="D2" s="137">
        <v>15</v>
      </c>
      <c r="E2" s="137">
        <v>10</v>
      </c>
    </row>
    <row r="3" spans="1:7" x14ac:dyDescent="0.3">
      <c r="A3" s="138" t="s">
        <v>179</v>
      </c>
      <c r="C3" s="5" t="s">
        <v>180</v>
      </c>
      <c r="D3" s="137">
        <v>3.2</v>
      </c>
      <c r="E3" s="137">
        <v>1</v>
      </c>
    </row>
    <row r="5" spans="1:7" x14ac:dyDescent="0.3">
      <c r="D5" s="15" t="s">
        <v>45</v>
      </c>
      <c r="E5" s="15" t="s">
        <v>44</v>
      </c>
      <c r="F5" s="15" t="s">
        <v>181</v>
      </c>
    </row>
    <row r="6" spans="1:7" x14ac:dyDescent="0.3">
      <c r="C6" s="5" t="s">
        <v>182</v>
      </c>
      <c r="D6" s="139">
        <v>2933.3</v>
      </c>
      <c r="E6" s="139">
        <v>3211.7</v>
      </c>
      <c r="F6" s="139">
        <v>941.2</v>
      </c>
    </row>
    <row r="8" spans="1:7" x14ac:dyDescent="0.3">
      <c r="C8" s="5" t="s">
        <v>183</v>
      </c>
      <c r="D8" s="140">
        <v>7000</v>
      </c>
    </row>
    <row r="9" spans="1:7" x14ac:dyDescent="0.3">
      <c r="C9" s="5" t="s">
        <v>184</v>
      </c>
      <c r="D9" s="140">
        <v>20000</v>
      </c>
    </row>
    <row r="10" spans="1:7" x14ac:dyDescent="0.3">
      <c r="C10" s="5" t="s">
        <v>185</v>
      </c>
      <c r="D10" s="140">
        <v>1420</v>
      </c>
    </row>
    <row r="12" spans="1:7" x14ac:dyDescent="0.3">
      <c r="D12" s="141" t="s">
        <v>45</v>
      </c>
      <c r="E12" s="141"/>
      <c r="F12" s="141" t="s">
        <v>45</v>
      </c>
      <c r="G12" s="141"/>
    </row>
    <row r="13" spans="1:7" x14ac:dyDescent="0.3">
      <c r="C13" s="5" t="s">
        <v>186</v>
      </c>
      <c r="D13" s="144">
        <f>SUM(D20:D79)</f>
        <v>0</v>
      </c>
      <c r="E13" s="6">
        <f>((60/D2)*D3)*D6</f>
        <v>37546.240000000005</v>
      </c>
      <c r="F13" s="6">
        <f>SUM(F20:F80)</f>
        <v>0</v>
      </c>
      <c r="G13" s="6">
        <f>((60/E2)*E3)*F6</f>
        <v>5647.2000000000007</v>
      </c>
    </row>
    <row r="14" spans="1:7" x14ac:dyDescent="0.3">
      <c r="C14" s="5" t="s">
        <v>187</v>
      </c>
      <c r="D14" s="5">
        <f>(D13/($D$10*1000))*100</f>
        <v>0</v>
      </c>
      <c r="E14" s="5"/>
      <c r="F14" s="5">
        <f>(F13/($D$10*1000))*100</f>
        <v>0</v>
      </c>
      <c r="G14" s="5"/>
    </row>
    <row r="17" spans="2:6" x14ac:dyDescent="0.3">
      <c r="B17" s="5"/>
      <c r="C17" s="5"/>
      <c r="D17" s="183" t="s">
        <v>188</v>
      </c>
      <c r="E17" s="185"/>
      <c r="F17" s="184"/>
    </row>
    <row r="18" spans="2:6" x14ac:dyDescent="0.3">
      <c r="B18" s="15" t="s">
        <v>189</v>
      </c>
      <c r="C18" s="15" t="s">
        <v>190</v>
      </c>
      <c r="D18" s="15" t="s">
        <v>191</v>
      </c>
      <c r="E18" s="15" t="s">
        <v>192</v>
      </c>
      <c r="F18" s="15" t="s">
        <v>181</v>
      </c>
    </row>
    <row r="19" spans="2:6" x14ac:dyDescent="0.3">
      <c r="B19" s="15">
        <v>0</v>
      </c>
      <c r="C19" s="142">
        <f>D8</f>
        <v>7000</v>
      </c>
      <c r="D19" s="15">
        <v>0</v>
      </c>
      <c r="E19" s="15">
        <v>0</v>
      </c>
      <c r="F19" s="15">
        <v>0</v>
      </c>
    </row>
    <row r="20" spans="2:6" x14ac:dyDescent="0.3">
      <c r="B20" s="15">
        <v>1</v>
      </c>
      <c r="C20" s="29">
        <f>IF(C19&gt;=7000,C19+D20+E20-F20,C19+D20+E20)</f>
        <v>7000</v>
      </c>
      <c r="D20" s="29">
        <f>0</f>
        <v>0</v>
      </c>
      <c r="E20" s="15">
        <v>0</v>
      </c>
      <c r="F20" s="29">
        <f>$F$17</f>
        <v>0</v>
      </c>
    </row>
    <row r="21" spans="2:6" x14ac:dyDescent="0.3">
      <c r="B21" s="15">
        <v>2</v>
      </c>
      <c r="C21" s="29">
        <f t="shared" ref="C21:C79" si="0">IF(C20&gt;=7000,C20+D21+E21-F21,C20+D21+E21)</f>
        <v>7000</v>
      </c>
      <c r="D21" s="29">
        <v>0</v>
      </c>
      <c r="E21" s="15">
        <v>0</v>
      </c>
      <c r="F21" s="29">
        <f>F20</f>
        <v>0</v>
      </c>
    </row>
    <row r="22" spans="2:6" x14ac:dyDescent="0.3">
      <c r="B22" s="15">
        <v>3</v>
      </c>
      <c r="C22" s="29">
        <f t="shared" si="0"/>
        <v>7000</v>
      </c>
      <c r="D22" s="29">
        <v>0</v>
      </c>
      <c r="E22" s="15">
        <v>0</v>
      </c>
      <c r="F22" s="29">
        <f t="shared" ref="F22:F79" si="1">F21</f>
        <v>0</v>
      </c>
    </row>
    <row r="23" spans="2:6" x14ac:dyDescent="0.3">
      <c r="B23" s="15">
        <v>4</v>
      </c>
      <c r="C23" s="29">
        <f t="shared" si="0"/>
        <v>7000</v>
      </c>
      <c r="D23" s="29">
        <v>0</v>
      </c>
      <c r="E23" s="15">
        <v>0</v>
      </c>
      <c r="F23" s="29">
        <f t="shared" si="1"/>
        <v>0</v>
      </c>
    </row>
    <row r="24" spans="2:6" x14ac:dyDescent="0.3">
      <c r="B24" s="15">
        <v>5</v>
      </c>
      <c r="C24" s="29">
        <f>IF(C23&gt;=7000,C23+D24+E24-F24,C23+D24+E24)</f>
        <v>7000</v>
      </c>
      <c r="D24" s="29">
        <f>D23</f>
        <v>0</v>
      </c>
      <c r="E24" s="15">
        <v>0</v>
      </c>
      <c r="F24" s="29">
        <f t="shared" si="1"/>
        <v>0</v>
      </c>
    </row>
    <row r="25" spans="2:6" x14ac:dyDescent="0.3">
      <c r="B25" s="15">
        <v>6</v>
      </c>
      <c r="C25" s="29">
        <f t="shared" si="0"/>
        <v>7000</v>
      </c>
      <c r="D25" s="15">
        <v>0</v>
      </c>
      <c r="E25" s="15">
        <v>0</v>
      </c>
      <c r="F25" s="29">
        <f t="shared" si="1"/>
        <v>0</v>
      </c>
    </row>
    <row r="26" spans="2:6" x14ac:dyDescent="0.3">
      <c r="B26" s="15">
        <f>B25+1</f>
        <v>7</v>
      </c>
      <c r="C26" s="29">
        <f t="shared" si="0"/>
        <v>7000</v>
      </c>
      <c r="D26" s="15">
        <v>0</v>
      </c>
      <c r="E26" s="15">
        <v>0</v>
      </c>
      <c r="F26" s="29">
        <f t="shared" si="1"/>
        <v>0</v>
      </c>
    </row>
    <row r="27" spans="2:6" x14ac:dyDescent="0.3">
      <c r="B27" s="15">
        <f t="shared" ref="B27:B79" si="2">B26+1</f>
        <v>8</v>
      </c>
      <c r="C27" s="29">
        <f t="shared" si="0"/>
        <v>7000</v>
      </c>
      <c r="D27" s="15">
        <v>0</v>
      </c>
      <c r="E27" s="15">
        <v>0</v>
      </c>
      <c r="F27" s="29">
        <f t="shared" si="1"/>
        <v>0</v>
      </c>
    </row>
    <row r="28" spans="2:6" x14ac:dyDescent="0.3">
      <c r="B28" s="15">
        <f t="shared" si="2"/>
        <v>9</v>
      </c>
      <c r="C28" s="29">
        <f t="shared" si="0"/>
        <v>7000</v>
      </c>
      <c r="D28" s="15">
        <v>0</v>
      </c>
      <c r="E28" s="29">
        <v>0</v>
      </c>
      <c r="F28" s="29">
        <f t="shared" si="1"/>
        <v>0</v>
      </c>
    </row>
    <row r="29" spans="2:6" x14ac:dyDescent="0.3">
      <c r="B29" s="15">
        <f t="shared" si="2"/>
        <v>10</v>
      </c>
      <c r="C29" s="29">
        <f t="shared" si="0"/>
        <v>7000</v>
      </c>
      <c r="D29" s="15">
        <v>0</v>
      </c>
      <c r="E29" s="29">
        <v>0</v>
      </c>
      <c r="F29" s="29">
        <f t="shared" si="1"/>
        <v>0</v>
      </c>
    </row>
    <row r="30" spans="2:6" x14ac:dyDescent="0.3">
      <c r="B30" s="15">
        <f t="shared" si="2"/>
        <v>11</v>
      </c>
      <c r="C30" s="29">
        <f t="shared" si="0"/>
        <v>7000</v>
      </c>
      <c r="D30" s="15">
        <v>0</v>
      </c>
      <c r="E30" s="29">
        <v>0</v>
      </c>
      <c r="F30" s="29">
        <f t="shared" si="1"/>
        <v>0</v>
      </c>
    </row>
    <row r="31" spans="2:6" x14ac:dyDescent="0.3">
      <c r="B31" s="15">
        <f t="shared" si="2"/>
        <v>12</v>
      </c>
      <c r="C31" s="29">
        <f t="shared" si="0"/>
        <v>7000</v>
      </c>
      <c r="D31" s="15">
        <v>0</v>
      </c>
      <c r="E31" s="29">
        <v>0</v>
      </c>
      <c r="F31" s="29">
        <f t="shared" si="1"/>
        <v>0</v>
      </c>
    </row>
    <row r="32" spans="2:6" x14ac:dyDescent="0.3">
      <c r="B32" s="15">
        <f t="shared" si="2"/>
        <v>13</v>
      </c>
      <c r="C32" s="29">
        <f t="shared" si="0"/>
        <v>7000</v>
      </c>
      <c r="D32" s="15">
        <v>0</v>
      </c>
      <c r="E32" s="29">
        <v>0</v>
      </c>
      <c r="F32" s="29">
        <f t="shared" si="1"/>
        <v>0</v>
      </c>
    </row>
    <row r="33" spans="2:6" x14ac:dyDescent="0.3">
      <c r="B33" s="15">
        <f t="shared" si="2"/>
        <v>14</v>
      </c>
      <c r="C33" s="29">
        <f t="shared" si="0"/>
        <v>7000</v>
      </c>
      <c r="D33" s="15">
        <v>0</v>
      </c>
      <c r="E33" s="15">
        <v>0</v>
      </c>
      <c r="F33" s="29">
        <f t="shared" si="1"/>
        <v>0</v>
      </c>
    </row>
    <row r="34" spans="2:6" x14ac:dyDescent="0.3">
      <c r="B34" s="15">
        <f t="shared" si="2"/>
        <v>15</v>
      </c>
      <c r="C34" s="29">
        <f t="shared" si="0"/>
        <v>7000</v>
      </c>
      <c r="D34" s="15">
        <v>0</v>
      </c>
      <c r="E34" s="29">
        <v>0</v>
      </c>
      <c r="F34" s="29">
        <f t="shared" si="1"/>
        <v>0</v>
      </c>
    </row>
    <row r="35" spans="2:6" x14ac:dyDescent="0.3">
      <c r="B35" s="15">
        <f t="shared" si="2"/>
        <v>16</v>
      </c>
      <c r="C35" s="29">
        <f t="shared" si="0"/>
        <v>7000</v>
      </c>
      <c r="D35" s="15">
        <v>0</v>
      </c>
      <c r="E35" s="29">
        <v>0</v>
      </c>
      <c r="F35" s="29">
        <f t="shared" si="1"/>
        <v>0</v>
      </c>
    </row>
    <row r="36" spans="2:6" x14ac:dyDescent="0.3">
      <c r="B36" s="15">
        <f t="shared" si="2"/>
        <v>17</v>
      </c>
      <c r="C36" s="29">
        <f t="shared" si="0"/>
        <v>7000</v>
      </c>
      <c r="D36" s="15">
        <v>0</v>
      </c>
      <c r="E36" s="29">
        <v>0</v>
      </c>
      <c r="F36" s="29">
        <f t="shared" si="1"/>
        <v>0</v>
      </c>
    </row>
    <row r="37" spans="2:6" x14ac:dyDescent="0.3">
      <c r="B37" s="15">
        <f t="shared" si="2"/>
        <v>18</v>
      </c>
      <c r="C37" s="29">
        <f t="shared" si="0"/>
        <v>7000</v>
      </c>
      <c r="D37" s="15">
        <v>0</v>
      </c>
      <c r="E37" s="29">
        <f>E36</f>
        <v>0</v>
      </c>
      <c r="F37" s="29">
        <f t="shared" si="1"/>
        <v>0</v>
      </c>
    </row>
    <row r="38" spans="2:6" x14ac:dyDescent="0.3">
      <c r="B38" s="15">
        <f>B37+1</f>
        <v>19</v>
      </c>
      <c r="C38" s="29">
        <f t="shared" si="0"/>
        <v>7000</v>
      </c>
      <c r="D38" s="15">
        <v>0</v>
      </c>
      <c r="E38" s="29">
        <f>E37</f>
        <v>0</v>
      </c>
      <c r="F38" s="29">
        <f t="shared" si="1"/>
        <v>0</v>
      </c>
    </row>
    <row r="39" spans="2:6" x14ac:dyDescent="0.3">
      <c r="B39" s="15">
        <f t="shared" si="2"/>
        <v>20</v>
      </c>
      <c r="C39" s="29">
        <f t="shared" si="0"/>
        <v>7000</v>
      </c>
      <c r="D39" s="15">
        <v>0</v>
      </c>
      <c r="E39" s="15">
        <v>0</v>
      </c>
      <c r="F39" s="29">
        <f t="shared" si="1"/>
        <v>0</v>
      </c>
    </row>
    <row r="40" spans="2:6" x14ac:dyDescent="0.3">
      <c r="B40" s="15">
        <f t="shared" si="2"/>
        <v>21</v>
      </c>
      <c r="C40" s="29">
        <f t="shared" si="0"/>
        <v>7000</v>
      </c>
      <c r="D40" s="15">
        <v>0</v>
      </c>
      <c r="E40" s="15">
        <v>0</v>
      </c>
      <c r="F40" s="29">
        <f t="shared" si="1"/>
        <v>0</v>
      </c>
    </row>
    <row r="41" spans="2:6" x14ac:dyDescent="0.3">
      <c r="B41" s="15">
        <f t="shared" si="2"/>
        <v>22</v>
      </c>
      <c r="C41" s="29">
        <f t="shared" si="0"/>
        <v>7000</v>
      </c>
      <c r="D41" s="29">
        <v>0</v>
      </c>
      <c r="E41" s="15">
        <v>0</v>
      </c>
      <c r="F41" s="29">
        <f t="shared" si="1"/>
        <v>0</v>
      </c>
    </row>
    <row r="42" spans="2:6" x14ac:dyDescent="0.3">
      <c r="B42" s="15">
        <f t="shared" si="2"/>
        <v>23</v>
      </c>
      <c r="C42" s="29">
        <f t="shared" si="0"/>
        <v>7000</v>
      </c>
      <c r="D42" s="15">
        <v>0</v>
      </c>
      <c r="E42" s="15">
        <v>0</v>
      </c>
      <c r="F42" s="29">
        <f t="shared" si="1"/>
        <v>0</v>
      </c>
    </row>
    <row r="43" spans="2:6" x14ac:dyDescent="0.3">
      <c r="B43" s="15">
        <f t="shared" si="2"/>
        <v>24</v>
      </c>
      <c r="C43" s="29">
        <f t="shared" si="0"/>
        <v>7000</v>
      </c>
      <c r="D43" s="15">
        <v>0</v>
      </c>
      <c r="E43" s="15">
        <v>0</v>
      </c>
      <c r="F43" s="29">
        <f t="shared" si="1"/>
        <v>0</v>
      </c>
    </row>
    <row r="44" spans="2:6" x14ac:dyDescent="0.3">
      <c r="B44" s="15">
        <f>B43+1</f>
        <v>25</v>
      </c>
      <c r="C44" s="29">
        <f t="shared" si="0"/>
        <v>7000</v>
      </c>
      <c r="D44" s="15">
        <v>0</v>
      </c>
      <c r="E44" s="15">
        <v>0</v>
      </c>
      <c r="F44" s="29">
        <f t="shared" si="1"/>
        <v>0</v>
      </c>
    </row>
    <row r="45" spans="2:6" x14ac:dyDescent="0.3">
      <c r="B45" s="15">
        <f t="shared" si="2"/>
        <v>26</v>
      </c>
      <c r="C45" s="29">
        <f t="shared" si="0"/>
        <v>7000</v>
      </c>
      <c r="D45" s="15">
        <v>0</v>
      </c>
      <c r="E45" s="15">
        <v>0</v>
      </c>
      <c r="F45" s="29">
        <f t="shared" si="1"/>
        <v>0</v>
      </c>
    </row>
    <row r="46" spans="2:6" x14ac:dyDescent="0.3">
      <c r="B46" s="15">
        <f t="shared" si="2"/>
        <v>27</v>
      </c>
      <c r="C46" s="29">
        <f t="shared" si="0"/>
        <v>7000</v>
      </c>
      <c r="D46" s="15">
        <v>0</v>
      </c>
      <c r="E46" s="15">
        <v>0</v>
      </c>
      <c r="F46" s="29">
        <f t="shared" si="1"/>
        <v>0</v>
      </c>
    </row>
    <row r="47" spans="2:6" x14ac:dyDescent="0.3">
      <c r="B47" s="15">
        <f t="shared" si="2"/>
        <v>28</v>
      </c>
      <c r="C47" s="29">
        <f t="shared" si="0"/>
        <v>7000</v>
      </c>
      <c r="D47" s="15">
        <v>0</v>
      </c>
      <c r="E47" s="15">
        <v>0</v>
      </c>
      <c r="F47" s="29">
        <f t="shared" si="1"/>
        <v>0</v>
      </c>
    </row>
    <row r="48" spans="2:6" x14ac:dyDescent="0.3">
      <c r="B48" s="15">
        <f t="shared" si="2"/>
        <v>29</v>
      </c>
      <c r="C48" s="29">
        <f t="shared" si="0"/>
        <v>7000</v>
      </c>
      <c r="D48" s="15">
        <v>0</v>
      </c>
      <c r="E48" s="15">
        <v>0</v>
      </c>
      <c r="F48" s="29">
        <f t="shared" si="1"/>
        <v>0</v>
      </c>
    </row>
    <row r="49" spans="2:6" x14ac:dyDescent="0.3">
      <c r="B49" s="15">
        <f t="shared" si="2"/>
        <v>30</v>
      </c>
      <c r="C49" s="29">
        <f t="shared" si="0"/>
        <v>7000</v>
      </c>
      <c r="D49" s="29">
        <v>0</v>
      </c>
      <c r="E49" s="15">
        <v>0</v>
      </c>
      <c r="F49" s="29">
        <f t="shared" si="1"/>
        <v>0</v>
      </c>
    </row>
    <row r="50" spans="2:6" x14ac:dyDescent="0.3">
      <c r="B50" s="15">
        <f t="shared" si="2"/>
        <v>31</v>
      </c>
      <c r="C50" s="29">
        <f t="shared" si="0"/>
        <v>7000</v>
      </c>
      <c r="D50" s="29">
        <v>0</v>
      </c>
      <c r="E50" s="15">
        <v>0</v>
      </c>
      <c r="F50" s="29">
        <f t="shared" si="1"/>
        <v>0</v>
      </c>
    </row>
    <row r="51" spans="2:6" x14ac:dyDescent="0.3">
      <c r="B51" s="15">
        <f t="shared" si="2"/>
        <v>32</v>
      </c>
      <c r="C51" s="29">
        <f t="shared" si="0"/>
        <v>7000</v>
      </c>
      <c r="D51" s="29">
        <f t="shared" ref="D51:D52" si="3">D22</f>
        <v>0</v>
      </c>
      <c r="E51" s="15">
        <v>0</v>
      </c>
      <c r="F51" s="29">
        <f t="shared" si="1"/>
        <v>0</v>
      </c>
    </row>
    <row r="52" spans="2:6" x14ac:dyDescent="0.3">
      <c r="B52" s="15">
        <f t="shared" si="2"/>
        <v>33</v>
      </c>
      <c r="C52" s="29">
        <f t="shared" si="0"/>
        <v>7000</v>
      </c>
      <c r="D52" s="29">
        <f t="shared" si="3"/>
        <v>0</v>
      </c>
      <c r="E52" s="15">
        <v>0</v>
      </c>
      <c r="F52" s="29">
        <f t="shared" si="1"/>
        <v>0</v>
      </c>
    </row>
    <row r="53" spans="2:6" x14ac:dyDescent="0.3">
      <c r="B53" s="15">
        <f>B52+1</f>
        <v>34</v>
      </c>
      <c r="C53" s="29">
        <f t="shared" si="0"/>
        <v>7000</v>
      </c>
      <c r="D53" s="29">
        <f>D52</f>
        <v>0</v>
      </c>
      <c r="E53" s="15">
        <v>0</v>
      </c>
      <c r="F53" s="29">
        <f t="shared" si="1"/>
        <v>0</v>
      </c>
    </row>
    <row r="54" spans="2:6" x14ac:dyDescent="0.3">
      <c r="B54" s="15">
        <f t="shared" si="2"/>
        <v>35</v>
      </c>
      <c r="C54" s="29">
        <f t="shared" si="0"/>
        <v>7000</v>
      </c>
      <c r="D54" s="29">
        <f>D53</f>
        <v>0</v>
      </c>
      <c r="E54" s="15">
        <v>0</v>
      </c>
      <c r="F54" s="29">
        <f t="shared" si="1"/>
        <v>0</v>
      </c>
    </row>
    <row r="55" spans="2:6" x14ac:dyDescent="0.3">
      <c r="B55" s="15">
        <f t="shared" si="2"/>
        <v>36</v>
      </c>
      <c r="C55" s="29">
        <f t="shared" si="0"/>
        <v>7000</v>
      </c>
      <c r="D55" s="29">
        <f>D54</f>
        <v>0</v>
      </c>
      <c r="E55" s="15">
        <v>0</v>
      </c>
      <c r="F55" s="29">
        <f t="shared" si="1"/>
        <v>0</v>
      </c>
    </row>
    <row r="56" spans="2:6" x14ac:dyDescent="0.3">
      <c r="B56" s="15">
        <f t="shared" si="2"/>
        <v>37</v>
      </c>
      <c r="C56" s="29">
        <f t="shared" si="0"/>
        <v>7000</v>
      </c>
      <c r="D56" s="15">
        <v>0</v>
      </c>
      <c r="E56" s="15">
        <v>0</v>
      </c>
      <c r="F56" s="29">
        <f t="shared" si="1"/>
        <v>0</v>
      </c>
    </row>
    <row r="57" spans="2:6" x14ac:dyDescent="0.3">
      <c r="B57" s="15">
        <f t="shared" si="2"/>
        <v>38</v>
      </c>
      <c r="C57" s="29">
        <f t="shared" si="0"/>
        <v>7000</v>
      </c>
      <c r="D57" s="15">
        <v>0</v>
      </c>
      <c r="E57" s="15">
        <v>0</v>
      </c>
      <c r="F57" s="29">
        <f t="shared" si="1"/>
        <v>0</v>
      </c>
    </row>
    <row r="58" spans="2:6" x14ac:dyDescent="0.3">
      <c r="B58" s="15">
        <f t="shared" si="2"/>
        <v>39</v>
      </c>
      <c r="C58" s="29">
        <f t="shared" si="0"/>
        <v>7000</v>
      </c>
      <c r="D58" s="15">
        <v>0</v>
      </c>
      <c r="E58" s="15">
        <v>0</v>
      </c>
      <c r="F58" s="29">
        <f t="shared" si="1"/>
        <v>0</v>
      </c>
    </row>
    <row r="59" spans="2:6" x14ac:dyDescent="0.3">
      <c r="B59" s="15">
        <f t="shared" si="2"/>
        <v>40</v>
      </c>
      <c r="C59" s="29">
        <f t="shared" si="0"/>
        <v>7000</v>
      </c>
      <c r="D59" s="15">
        <v>0</v>
      </c>
      <c r="E59" s="15">
        <v>0</v>
      </c>
      <c r="F59" s="29">
        <f t="shared" si="1"/>
        <v>0</v>
      </c>
    </row>
    <row r="60" spans="2:6" x14ac:dyDescent="0.3">
      <c r="B60" s="15">
        <f t="shared" si="2"/>
        <v>41</v>
      </c>
      <c r="C60" s="29">
        <f t="shared" si="0"/>
        <v>7000</v>
      </c>
      <c r="D60" s="15">
        <v>0</v>
      </c>
      <c r="E60" s="15">
        <v>0</v>
      </c>
      <c r="F60" s="29">
        <f t="shared" si="1"/>
        <v>0</v>
      </c>
    </row>
    <row r="61" spans="2:6" x14ac:dyDescent="0.3">
      <c r="B61" s="15">
        <f t="shared" si="2"/>
        <v>42</v>
      </c>
      <c r="C61" s="29">
        <f t="shared" si="0"/>
        <v>7000</v>
      </c>
      <c r="D61" s="15">
        <v>0</v>
      </c>
      <c r="E61" s="15">
        <v>0</v>
      </c>
      <c r="F61" s="29">
        <f t="shared" si="1"/>
        <v>0</v>
      </c>
    </row>
    <row r="62" spans="2:6" x14ac:dyDescent="0.3">
      <c r="B62" s="15">
        <f t="shared" si="2"/>
        <v>43</v>
      </c>
      <c r="C62" s="29">
        <f t="shared" si="0"/>
        <v>7000</v>
      </c>
      <c r="D62" s="15">
        <v>0</v>
      </c>
      <c r="E62" s="15">
        <v>0</v>
      </c>
      <c r="F62" s="29">
        <f t="shared" si="1"/>
        <v>0</v>
      </c>
    </row>
    <row r="63" spans="2:6" x14ac:dyDescent="0.3">
      <c r="B63" s="15">
        <f>B62+1</f>
        <v>44</v>
      </c>
      <c r="C63" s="29">
        <f t="shared" si="0"/>
        <v>7000</v>
      </c>
      <c r="D63" s="15">
        <v>0</v>
      </c>
      <c r="E63" s="29">
        <v>0</v>
      </c>
      <c r="F63" s="29">
        <f t="shared" si="1"/>
        <v>0</v>
      </c>
    </row>
    <row r="64" spans="2:6" x14ac:dyDescent="0.3">
      <c r="B64" s="15">
        <f t="shared" si="2"/>
        <v>45</v>
      </c>
      <c r="C64" s="29">
        <f t="shared" si="0"/>
        <v>7000</v>
      </c>
      <c r="D64" s="15">
        <v>0</v>
      </c>
      <c r="E64" s="29">
        <v>0</v>
      </c>
      <c r="F64" s="29">
        <f t="shared" si="1"/>
        <v>0</v>
      </c>
    </row>
    <row r="65" spans="2:6" x14ac:dyDescent="0.3">
      <c r="B65" s="15">
        <f t="shared" si="2"/>
        <v>46</v>
      </c>
      <c r="C65" s="29">
        <f t="shared" si="0"/>
        <v>7000</v>
      </c>
      <c r="D65" s="15">
        <v>0</v>
      </c>
      <c r="E65" s="29">
        <v>0</v>
      </c>
      <c r="F65" s="29">
        <f t="shared" si="1"/>
        <v>0</v>
      </c>
    </row>
    <row r="66" spans="2:6" x14ac:dyDescent="0.3">
      <c r="B66" s="15">
        <f t="shared" si="2"/>
        <v>47</v>
      </c>
      <c r="C66" s="29">
        <f t="shared" si="0"/>
        <v>7000</v>
      </c>
      <c r="D66" s="15">
        <v>0</v>
      </c>
      <c r="E66" s="29">
        <f t="shared" ref="E66:E67" si="4">E37</f>
        <v>0</v>
      </c>
      <c r="F66" s="29">
        <f t="shared" si="1"/>
        <v>0</v>
      </c>
    </row>
    <row r="67" spans="2:6" x14ac:dyDescent="0.3">
      <c r="B67" s="15">
        <f t="shared" si="2"/>
        <v>48</v>
      </c>
      <c r="C67" s="29">
        <f t="shared" si="0"/>
        <v>7000</v>
      </c>
      <c r="D67" s="15">
        <v>0</v>
      </c>
      <c r="E67" s="29">
        <f t="shared" si="4"/>
        <v>0</v>
      </c>
      <c r="F67" s="29">
        <f t="shared" si="1"/>
        <v>0</v>
      </c>
    </row>
    <row r="68" spans="2:6" x14ac:dyDescent="0.3">
      <c r="B68" s="15">
        <f t="shared" si="2"/>
        <v>49</v>
      </c>
      <c r="C68" s="29">
        <f t="shared" si="0"/>
        <v>7000</v>
      </c>
      <c r="D68" s="15">
        <v>0</v>
      </c>
      <c r="E68" s="29">
        <f>E67</f>
        <v>0</v>
      </c>
      <c r="F68" s="29">
        <f t="shared" si="1"/>
        <v>0</v>
      </c>
    </row>
    <row r="69" spans="2:6" x14ac:dyDescent="0.3">
      <c r="B69" s="15">
        <f t="shared" si="2"/>
        <v>50</v>
      </c>
      <c r="C69" s="29">
        <f t="shared" si="0"/>
        <v>7000</v>
      </c>
      <c r="D69" s="15">
        <v>0</v>
      </c>
      <c r="E69" s="29">
        <v>0</v>
      </c>
      <c r="F69" s="29">
        <f t="shared" si="1"/>
        <v>0</v>
      </c>
    </row>
    <row r="70" spans="2:6" x14ac:dyDescent="0.3">
      <c r="B70" s="15">
        <f>B69+1</f>
        <v>51</v>
      </c>
      <c r="C70" s="29">
        <f t="shared" si="0"/>
        <v>7000</v>
      </c>
      <c r="D70" s="15">
        <v>0</v>
      </c>
      <c r="E70" s="29">
        <v>0</v>
      </c>
      <c r="F70" s="29">
        <f t="shared" si="1"/>
        <v>0</v>
      </c>
    </row>
    <row r="71" spans="2:6" x14ac:dyDescent="0.3">
      <c r="B71" s="15">
        <f t="shared" si="2"/>
        <v>52</v>
      </c>
      <c r="C71" s="29">
        <f t="shared" si="0"/>
        <v>7000</v>
      </c>
      <c r="D71" s="15">
        <v>0</v>
      </c>
      <c r="E71" s="15">
        <v>0</v>
      </c>
      <c r="F71" s="29">
        <f t="shared" si="1"/>
        <v>0</v>
      </c>
    </row>
    <row r="72" spans="2:6" x14ac:dyDescent="0.3">
      <c r="B72" s="15">
        <f t="shared" si="2"/>
        <v>53</v>
      </c>
      <c r="C72" s="29">
        <f t="shared" si="0"/>
        <v>7000</v>
      </c>
      <c r="D72" s="15">
        <v>0</v>
      </c>
      <c r="E72" s="15">
        <v>0</v>
      </c>
      <c r="F72" s="29">
        <f t="shared" si="1"/>
        <v>0</v>
      </c>
    </row>
    <row r="73" spans="2:6" x14ac:dyDescent="0.3">
      <c r="B73" s="15">
        <f t="shared" si="2"/>
        <v>54</v>
      </c>
      <c r="C73" s="29">
        <f t="shared" si="0"/>
        <v>7000</v>
      </c>
      <c r="D73" s="15">
        <v>0</v>
      </c>
      <c r="E73" s="29">
        <v>0</v>
      </c>
      <c r="F73" s="29">
        <f t="shared" si="1"/>
        <v>0</v>
      </c>
    </row>
    <row r="74" spans="2:6" x14ac:dyDescent="0.3">
      <c r="B74" s="15">
        <f t="shared" si="2"/>
        <v>55</v>
      </c>
      <c r="C74" s="29">
        <f t="shared" si="0"/>
        <v>7000</v>
      </c>
      <c r="D74" s="15">
        <v>0</v>
      </c>
      <c r="E74" s="29">
        <v>0</v>
      </c>
      <c r="F74" s="29">
        <f t="shared" si="1"/>
        <v>0</v>
      </c>
    </row>
    <row r="75" spans="2:6" x14ac:dyDescent="0.3">
      <c r="B75" s="15">
        <f t="shared" si="2"/>
        <v>56</v>
      </c>
      <c r="C75" s="29">
        <f t="shared" si="0"/>
        <v>7000</v>
      </c>
      <c r="D75" s="15">
        <v>0</v>
      </c>
      <c r="E75" s="29">
        <v>0</v>
      </c>
      <c r="F75" s="29">
        <f t="shared" si="1"/>
        <v>0</v>
      </c>
    </row>
    <row r="76" spans="2:6" x14ac:dyDescent="0.3">
      <c r="B76" s="15">
        <f t="shared" si="2"/>
        <v>57</v>
      </c>
      <c r="C76" s="29">
        <f t="shared" si="0"/>
        <v>7000</v>
      </c>
      <c r="D76" s="15">
        <v>0</v>
      </c>
      <c r="E76" s="29">
        <v>0</v>
      </c>
      <c r="F76" s="29">
        <f t="shared" si="1"/>
        <v>0</v>
      </c>
    </row>
    <row r="77" spans="2:6" x14ac:dyDescent="0.3">
      <c r="B77" s="15">
        <f t="shared" si="2"/>
        <v>58</v>
      </c>
      <c r="C77" s="29">
        <f t="shared" si="0"/>
        <v>7000</v>
      </c>
      <c r="D77" s="15">
        <v>0</v>
      </c>
      <c r="E77" s="29">
        <v>0</v>
      </c>
      <c r="F77" s="29">
        <f t="shared" si="1"/>
        <v>0</v>
      </c>
    </row>
    <row r="78" spans="2:6" x14ac:dyDescent="0.3">
      <c r="B78" s="15">
        <f>B77+1</f>
        <v>59</v>
      </c>
      <c r="C78" s="29">
        <f t="shared" si="0"/>
        <v>7000</v>
      </c>
      <c r="D78" s="15">
        <v>0</v>
      </c>
      <c r="E78" s="29">
        <v>0</v>
      </c>
      <c r="F78" s="29">
        <f t="shared" si="1"/>
        <v>0</v>
      </c>
    </row>
    <row r="79" spans="2:6" x14ac:dyDescent="0.3">
      <c r="B79" s="15">
        <f t="shared" si="2"/>
        <v>60</v>
      </c>
      <c r="C79" s="29">
        <f t="shared" si="0"/>
        <v>7000</v>
      </c>
      <c r="D79" s="15">
        <v>0</v>
      </c>
      <c r="E79" s="29">
        <v>0</v>
      </c>
      <c r="F79" s="29">
        <f t="shared" si="1"/>
        <v>0</v>
      </c>
    </row>
    <row r="80" spans="2:6" x14ac:dyDescent="0.3">
      <c r="C80" s="136" t="s">
        <v>193</v>
      </c>
      <c r="D80" s="136">
        <f>SUM(D19:D79)</f>
        <v>0</v>
      </c>
      <c r="E80" s="136">
        <f>SUM(E19:E79)</f>
        <v>0</v>
      </c>
    </row>
    <row r="81" spans="3:5" x14ac:dyDescent="0.3">
      <c r="C81" s="136" t="s">
        <v>194</v>
      </c>
      <c r="D81" s="143">
        <f>(D80/($D$83*1000))*100</f>
        <v>0</v>
      </c>
      <c r="E81" s="143">
        <f>(E80/($D$83*1000))*100</f>
        <v>0</v>
      </c>
    </row>
    <row r="83" spans="3:5" x14ac:dyDescent="0.3">
      <c r="C83" t="s">
        <v>195</v>
      </c>
      <c r="D83">
        <v>1420</v>
      </c>
    </row>
  </sheetData>
  <mergeCells count="1">
    <mergeCell ref="D17:F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249977111117893"/>
  </sheetPr>
  <dimension ref="C1:G13"/>
  <sheetViews>
    <sheetView topLeftCell="C1" workbookViewId="0">
      <selection activeCell="G5" sqref="G5"/>
    </sheetView>
  </sheetViews>
  <sheetFormatPr defaultRowHeight="14.4" x14ac:dyDescent="0.3"/>
  <cols>
    <col min="1" max="2" width="0" hidden="1" customWidth="1"/>
    <col min="3" max="3" width="40.5546875" customWidth="1"/>
    <col min="4" max="4" width="12" customWidth="1"/>
    <col min="5" max="5" width="11.44140625" customWidth="1"/>
    <col min="6" max="6" width="10" customWidth="1"/>
    <col min="7" max="7" width="11" customWidth="1"/>
    <col min="8" max="8" width="11.6640625" customWidth="1"/>
    <col min="9" max="9" width="12.6640625" customWidth="1"/>
    <col min="10" max="10" width="11.44140625" customWidth="1"/>
    <col min="11" max="11" width="12.88671875" customWidth="1"/>
    <col min="12" max="12" width="12.109375" customWidth="1"/>
    <col min="13" max="13" width="12" customWidth="1"/>
  </cols>
  <sheetData>
    <row r="1" spans="3:7" ht="18" x14ac:dyDescent="0.35">
      <c r="C1" s="186" t="s">
        <v>65</v>
      </c>
      <c r="D1" s="186"/>
      <c r="G1" t="s">
        <v>136</v>
      </c>
    </row>
    <row r="2" spans="3:7" ht="15" thickBot="1" x14ac:dyDescent="0.35"/>
    <row r="3" spans="3:7" ht="15" thickBot="1" x14ac:dyDescent="0.35">
      <c r="C3" s="40" t="s">
        <v>66</v>
      </c>
      <c r="D3" s="41" t="s">
        <v>112</v>
      </c>
      <c r="E3" s="41" t="s">
        <v>112</v>
      </c>
      <c r="F3" s="41" t="s">
        <v>112</v>
      </c>
      <c r="G3" s="50" t="s">
        <v>77</v>
      </c>
    </row>
    <row r="4" spans="3:7" ht="15" thickBot="1" x14ac:dyDescent="0.35">
      <c r="C4" s="42" t="s">
        <v>67</v>
      </c>
      <c r="D4" s="43">
        <v>9.5</v>
      </c>
      <c r="E4" s="43">
        <v>9.4600000000000009</v>
      </c>
      <c r="F4" s="44">
        <v>9.4600000000000009</v>
      </c>
      <c r="G4" s="130">
        <f>AVERAGE(D4:F4)*3600</f>
        <v>34104.000000000007</v>
      </c>
    </row>
    <row r="5" spans="3:7" x14ac:dyDescent="0.3">
      <c r="C5" s="45" t="s">
        <v>68</v>
      </c>
      <c r="D5" s="5">
        <v>11</v>
      </c>
      <c r="E5" s="5">
        <v>11</v>
      </c>
      <c r="F5" s="46">
        <v>11</v>
      </c>
      <c r="G5" s="130">
        <f>AVERAGE(D5:F5)*3600</f>
        <v>39600</v>
      </c>
    </row>
    <row r="6" spans="3:7" x14ac:dyDescent="0.3">
      <c r="C6" s="45" t="s">
        <v>69</v>
      </c>
      <c r="D6" s="5">
        <v>1.1000000000000001</v>
      </c>
      <c r="E6" s="5">
        <v>1.08</v>
      </c>
      <c r="F6" s="46">
        <v>1.06</v>
      </c>
      <c r="G6" s="51">
        <f>F6*3600</f>
        <v>3816</v>
      </c>
    </row>
    <row r="7" spans="3:7" x14ac:dyDescent="0.3">
      <c r="C7" s="45" t="s">
        <v>70</v>
      </c>
      <c r="D7" s="5"/>
      <c r="E7" s="5"/>
      <c r="F7" s="46"/>
      <c r="G7" s="51"/>
    </row>
    <row r="8" spans="3:7" x14ac:dyDescent="0.3">
      <c r="C8" s="45" t="s">
        <v>71</v>
      </c>
      <c r="D8" s="5"/>
      <c r="E8" s="5"/>
      <c r="F8" s="46"/>
      <c r="G8" s="51"/>
    </row>
    <row r="9" spans="3:7" x14ac:dyDescent="0.3">
      <c r="C9" s="45" t="s">
        <v>72</v>
      </c>
      <c r="D9" s="5"/>
      <c r="E9" s="5"/>
      <c r="F9" s="46"/>
      <c r="G9" s="51"/>
    </row>
    <row r="10" spans="3:7" ht="15" thickBot="1" x14ac:dyDescent="0.35">
      <c r="C10" s="45" t="s">
        <v>73</v>
      </c>
      <c r="D10" s="5"/>
      <c r="E10" s="5"/>
      <c r="F10" s="46"/>
      <c r="G10" s="51"/>
    </row>
    <row r="11" spans="3:7" ht="15" thickBot="1" x14ac:dyDescent="0.35">
      <c r="C11" s="45" t="s">
        <v>74</v>
      </c>
      <c r="D11" s="5">
        <v>75</v>
      </c>
      <c r="E11" s="5">
        <v>75</v>
      </c>
      <c r="F11" s="5">
        <v>75</v>
      </c>
      <c r="G11" s="130">
        <f t="shared" ref="G11:G12" si="0">AVERAGE(D11:F11)*3600</f>
        <v>270000</v>
      </c>
    </row>
    <row r="12" spans="3:7" x14ac:dyDescent="0.3">
      <c r="C12" s="45" t="s">
        <v>75</v>
      </c>
      <c r="D12" s="5">
        <v>75</v>
      </c>
      <c r="E12" s="5">
        <v>75</v>
      </c>
      <c r="F12" s="5">
        <v>75</v>
      </c>
      <c r="G12" s="130">
        <f t="shared" si="0"/>
        <v>270000</v>
      </c>
    </row>
    <row r="13" spans="3:7" ht="15" thickBot="1" x14ac:dyDescent="0.35">
      <c r="C13" s="47" t="s">
        <v>76</v>
      </c>
      <c r="D13" s="48"/>
      <c r="E13" s="48"/>
      <c r="F13" s="49"/>
      <c r="G13" s="52"/>
    </row>
  </sheetData>
  <mergeCells count="1">
    <mergeCell ref="C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3" tint="0.39997558519241921"/>
  </sheetPr>
  <dimension ref="C1:K16"/>
  <sheetViews>
    <sheetView topLeftCell="C1" workbookViewId="0">
      <selection activeCell="I39" sqref="I39"/>
    </sheetView>
  </sheetViews>
  <sheetFormatPr defaultRowHeight="14.4" x14ac:dyDescent="0.3"/>
  <cols>
    <col min="1" max="2" width="0" hidden="1" customWidth="1"/>
    <col min="3" max="3" width="10.109375" customWidth="1"/>
    <col min="4" max="4" width="11.109375" bestFit="1" customWidth="1"/>
    <col min="5" max="5" width="10.6640625" bestFit="1" customWidth="1"/>
    <col min="6" max="6" width="19.33203125" customWidth="1"/>
    <col min="7" max="7" width="14.44140625" customWidth="1"/>
    <col min="8" max="8" width="15.88671875" customWidth="1"/>
    <col min="9" max="9" width="15.5546875" customWidth="1"/>
    <col min="10" max="10" width="10.5546875" customWidth="1"/>
  </cols>
  <sheetData>
    <row r="1" spans="3:11" ht="18" x14ac:dyDescent="0.35">
      <c r="C1" s="187" t="s">
        <v>55</v>
      </c>
      <c r="D1" s="186"/>
      <c r="E1" s="186"/>
      <c r="F1" s="186"/>
      <c r="G1" s="186"/>
      <c r="H1" s="186"/>
      <c r="I1" s="186"/>
    </row>
    <row r="2" spans="3:11" ht="15" thickBot="1" x14ac:dyDescent="0.35"/>
    <row r="3" spans="3:11" ht="15" thickBot="1" x14ac:dyDescent="0.35">
      <c r="C3" s="18" t="s">
        <v>56</v>
      </c>
      <c r="D3" s="19" t="s">
        <v>57</v>
      </c>
      <c r="E3" s="19" t="s">
        <v>58</v>
      </c>
      <c r="F3" s="19" t="s">
        <v>59</v>
      </c>
      <c r="G3" s="19" t="s">
        <v>60</v>
      </c>
      <c r="H3" s="19" t="s">
        <v>61</v>
      </c>
      <c r="I3" s="19" t="s">
        <v>62</v>
      </c>
      <c r="J3" s="20" t="s">
        <v>63</v>
      </c>
      <c r="K3" s="20" t="s">
        <v>64</v>
      </c>
    </row>
    <row r="4" spans="3:11" x14ac:dyDescent="0.3">
      <c r="C4" s="21">
        <v>100</v>
      </c>
      <c r="D4" s="22">
        <v>400</v>
      </c>
      <c r="E4" s="22">
        <v>30</v>
      </c>
      <c r="F4" s="23">
        <f t="shared" ref="F4:F16" si="0">(D4/3600)*E4</f>
        <v>3.333333333333333</v>
      </c>
      <c r="G4" s="22"/>
      <c r="H4" s="22"/>
      <c r="I4" s="24"/>
      <c r="J4" s="25"/>
      <c r="K4" s="25"/>
    </row>
    <row r="5" spans="3:11" x14ac:dyDescent="0.3">
      <c r="C5" s="26">
        <v>90</v>
      </c>
      <c r="D5" s="15">
        <f t="shared" ref="D5:D16" si="1">($D$4/$C$4)*C5</f>
        <v>360</v>
      </c>
      <c r="E5" s="15">
        <v>30</v>
      </c>
      <c r="F5" s="27">
        <f t="shared" si="0"/>
        <v>3</v>
      </c>
      <c r="G5" s="15"/>
      <c r="H5" s="15"/>
      <c r="I5" s="16"/>
      <c r="J5" s="28"/>
      <c r="K5" s="28"/>
    </row>
    <row r="6" spans="3:11" x14ac:dyDescent="0.3">
      <c r="C6" s="26">
        <v>80</v>
      </c>
      <c r="D6" s="15">
        <f t="shared" si="1"/>
        <v>320</v>
      </c>
      <c r="E6" s="15">
        <v>30</v>
      </c>
      <c r="F6" s="27">
        <f t="shared" si="0"/>
        <v>2.666666666666667</v>
      </c>
      <c r="G6" s="15"/>
      <c r="H6" s="15"/>
      <c r="I6" s="16"/>
      <c r="J6" s="28"/>
      <c r="K6" s="28"/>
    </row>
    <row r="7" spans="3:11" x14ac:dyDescent="0.3">
      <c r="C7" s="26">
        <v>70</v>
      </c>
      <c r="D7" s="15">
        <f t="shared" si="1"/>
        <v>280</v>
      </c>
      <c r="E7" s="15">
        <v>30</v>
      </c>
      <c r="F7" s="27">
        <f t="shared" si="0"/>
        <v>2.3333333333333335</v>
      </c>
      <c r="G7" s="15"/>
      <c r="H7" s="15"/>
      <c r="I7" s="16"/>
      <c r="J7" s="28"/>
      <c r="K7" s="28"/>
    </row>
    <row r="8" spans="3:11" x14ac:dyDescent="0.3">
      <c r="C8" s="26">
        <v>75</v>
      </c>
      <c r="D8" s="15">
        <f t="shared" si="1"/>
        <v>300</v>
      </c>
      <c r="E8" s="15">
        <v>30</v>
      </c>
      <c r="F8" s="27">
        <f t="shared" si="0"/>
        <v>2.5</v>
      </c>
      <c r="G8" s="15"/>
      <c r="H8" s="15"/>
      <c r="I8" s="16"/>
      <c r="J8" s="28"/>
      <c r="K8" s="28"/>
    </row>
    <row r="9" spans="3:11" x14ac:dyDescent="0.3">
      <c r="C9" s="26">
        <v>60</v>
      </c>
      <c r="D9" s="15">
        <f t="shared" si="1"/>
        <v>240</v>
      </c>
      <c r="E9" s="15">
        <v>45</v>
      </c>
      <c r="F9" s="27">
        <f t="shared" si="0"/>
        <v>3</v>
      </c>
      <c r="G9" s="15"/>
      <c r="H9" s="15"/>
      <c r="I9" s="16"/>
      <c r="J9" s="28"/>
      <c r="K9" s="28"/>
    </row>
    <row r="10" spans="3:11" x14ac:dyDescent="0.3">
      <c r="C10" s="26">
        <v>55</v>
      </c>
      <c r="D10" s="15">
        <f t="shared" si="1"/>
        <v>220</v>
      </c>
      <c r="E10" s="15">
        <v>45</v>
      </c>
      <c r="F10" s="27">
        <f t="shared" si="0"/>
        <v>2.75</v>
      </c>
      <c r="G10" s="15"/>
      <c r="H10" s="15"/>
      <c r="I10" s="16"/>
      <c r="J10" s="28"/>
      <c r="K10" s="28"/>
    </row>
    <row r="11" spans="3:11" x14ac:dyDescent="0.3">
      <c r="C11" s="26">
        <v>50</v>
      </c>
      <c r="D11" s="15">
        <f t="shared" si="1"/>
        <v>200</v>
      </c>
      <c r="E11" s="15">
        <v>60</v>
      </c>
      <c r="F11" s="27">
        <f t="shared" si="0"/>
        <v>3.333333333333333</v>
      </c>
      <c r="G11" s="15"/>
      <c r="H11" s="15"/>
      <c r="I11" s="16"/>
      <c r="J11" s="28"/>
      <c r="K11" s="28"/>
    </row>
    <row r="12" spans="3:11" x14ac:dyDescent="0.3">
      <c r="C12" s="26">
        <v>45</v>
      </c>
      <c r="D12" s="15">
        <f t="shared" si="1"/>
        <v>180</v>
      </c>
      <c r="E12" s="15">
        <v>60</v>
      </c>
      <c r="F12" s="27">
        <f t="shared" si="0"/>
        <v>3</v>
      </c>
      <c r="G12" s="15"/>
      <c r="H12" s="15"/>
      <c r="I12" s="16"/>
      <c r="J12" s="28"/>
      <c r="K12" s="28"/>
    </row>
    <row r="13" spans="3:11" x14ac:dyDescent="0.3">
      <c r="C13" s="26">
        <v>40</v>
      </c>
      <c r="D13" s="15">
        <f t="shared" si="1"/>
        <v>160</v>
      </c>
      <c r="E13" s="15">
        <v>60</v>
      </c>
      <c r="F13" s="27">
        <f t="shared" si="0"/>
        <v>2.666666666666667</v>
      </c>
      <c r="G13" s="29">
        <v>2.13</v>
      </c>
      <c r="H13" s="29">
        <v>2.06</v>
      </c>
      <c r="I13" s="30">
        <v>2.06</v>
      </c>
      <c r="J13" s="31">
        <f>AVERAGE(G13:I13)</f>
        <v>2.0833333333333335</v>
      </c>
      <c r="K13" s="32">
        <f>(F13-J13)/F13</f>
        <v>0.21875000000000003</v>
      </c>
    </row>
    <row r="14" spans="3:11" x14ac:dyDescent="0.3">
      <c r="C14" s="26">
        <v>35</v>
      </c>
      <c r="D14" s="15">
        <f t="shared" si="1"/>
        <v>140</v>
      </c>
      <c r="E14" s="15">
        <v>60</v>
      </c>
      <c r="F14" s="27">
        <f t="shared" si="0"/>
        <v>2.3333333333333335</v>
      </c>
      <c r="G14" s="29">
        <v>1.7</v>
      </c>
      <c r="H14" s="29">
        <v>1.72</v>
      </c>
      <c r="I14" s="30">
        <v>1.9</v>
      </c>
      <c r="J14" s="31">
        <f t="shared" ref="J14:J16" si="2">AVERAGE(G14:I14)</f>
        <v>1.7733333333333334</v>
      </c>
      <c r="K14" s="32">
        <f t="shared" ref="K14:K16" si="3">(F14-J14)/F14</f>
        <v>0.24000000000000002</v>
      </c>
    </row>
    <row r="15" spans="3:11" x14ac:dyDescent="0.3">
      <c r="C15" s="26">
        <v>30</v>
      </c>
      <c r="D15" s="15">
        <f t="shared" si="1"/>
        <v>120</v>
      </c>
      <c r="E15" s="15">
        <v>60</v>
      </c>
      <c r="F15" s="27">
        <f t="shared" si="0"/>
        <v>2</v>
      </c>
      <c r="G15" s="29">
        <v>1.4</v>
      </c>
      <c r="H15" s="29">
        <v>1.3</v>
      </c>
      <c r="I15" s="30">
        <v>1.6</v>
      </c>
      <c r="J15" s="31">
        <f t="shared" si="2"/>
        <v>1.4333333333333336</v>
      </c>
      <c r="K15" s="32">
        <f>(F15-J15)/F15</f>
        <v>0.28333333333333321</v>
      </c>
    </row>
    <row r="16" spans="3:11" ht="15" thickBot="1" x14ac:dyDescent="0.35">
      <c r="C16" s="33">
        <v>25</v>
      </c>
      <c r="D16" s="34">
        <f t="shared" si="1"/>
        <v>100</v>
      </c>
      <c r="E16" s="34">
        <v>60</v>
      </c>
      <c r="F16" s="35">
        <f t="shared" si="0"/>
        <v>1.6666666666666665</v>
      </c>
      <c r="G16" s="36">
        <v>1.4</v>
      </c>
      <c r="H16" s="36">
        <v>1.3</v>
      </c>
      <c r="I16" s="37">
        <v>1.2</v>
      </c>
      <c r="J16" s="38">
        <f t="shared" si="2"/>
        <v>1.3</v>
      </c>
      <c r="K16" s="39">
        <f t="shared" si="3"/>
        <v>0.21999999999999992</v>
      </c>
    </row>
  </sheetData>
  <mergeCells count="1">
    <mergeCell ref="C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32"/>
  <sheetViews>
    <sheetView workbookViewId="0">
      <selection activeCell="C26" sqref="C26"/>
    </sheetView>
  </sheetViews>
  <sheetFormatPr defaultRowHeight="14.4" x14ac:dyDescent="0.3"/>
  <cols>
    <col min="1" max="1" width="21.109375" customWidth="1"/>
    <col min="2" max="2" width="18.6640625" customWidth="1"/>
    <col min="3" max="3" width="15.44140625" customWidth="1"/>
    <col min="4" max="4" width="18" customWidth="1"/>
    <col min="5" max="5" width="21.5546875" customWidth="1"/>
    <col min="6" max="6" width="26.44140625" customWidth="1"/>
    <col min="7" max="7" width="17.6640625" customWidth="1"/>
    <col min="8" max="8" width="18.5546875" customWidth="1"/>
    <col min="9" max="9" width="19.5546875" customWidth="1"/>
  </cols>
  <sheetData>
    <row r="1" spans="1:9" ht="15.6" x14ac:dyDescent="0.3">
      <c r="A1" s="188" t="s">
        <v>90</v>
      </c>
      <c r="B1" s="189"/>
      <c r="C1" s="189"/>
      <c r="D1" s="189"/>
      <c r="E1" s="189"/>
      <c r="F1" s="189"/>
    </row>
    <row r="2" spans="1:9" ht="15" thickBot="1" x14ac:dyDescent="0.35">
      <c r="A2" s="56" t="s">
        <v>91</v>
      </c>
      <c r="B2" s="57" t="s">
        <v>92</v>
      </c>
      <c r="C2" s="58" t="s">
        <v>93</v>
      </c>
      <c r="D2" s="58" t="s">
        <v>94</v>
      </c>
      <c r="E2" s="59" t="s">
        <v>95</v>
      </c>
      <c r="F2" s="60" t="s">
        <v>96</v>
      </c>
      <c r="G2" s="74" t="s">
        <v>171</v>
      </c>
    </row>
    <row r="3" spans="1:9" x14ac:dyDescent="0.3">
      <c r="A3" s="61" t="s">
        <v>97</v>
      </c>
      <c r="B3" s="62">
        <v>1528.6</v>
      </c>
      <c r="C3" s="63">
        <f>(B12*B15)/1000</f>
        <v>47.25</v>
      </c>
      <c r="D3" s="63">
        <f>C3*(8760/1000)</f>
        <v>413.90999999999997</v>
      </c>
      <c r="E3" s="146">
        <f>D3*B3</f>
        <v>632702.82599999988</v>
      </c>
      <c r="F3" s="145">
        <f>E3*2</f>
        <v>1265405.6519999998</v>
      </c>
      <c r="G3" s="64">
        <f>F3-$F$20</f>
        <v>-3503826.3480000002</v>
      </c>
    </row>
    <row r="4" spans="1:9" x14ac:dyDescent="0.3">
      <c r="A4" s="65" t="s">
        <v>98</v>
      </c>
      <c r="B4" s="66">
        <v>5620.2</v>
      </c>
      <c r="C4" s="67">
        <f>C12*B15/1000</f>
        <v>35.1</v>
      </c>
      <c r="D4" s="67">
        <f t="shared" ref="D4:D6" si="0">C4*(8760/1000)</f>
        <v>307.476</v>
      </c>
      <c r="E4" s="66">
        <f t="shared" ref="E4:E6" si="1">D4*B4</f>
        <v>1728076.6151999999</v>
      </c>
      <c r="F4" s="68">
        <f t="shared" ref="F4:F6" si="2">E4*2</f>
        <v>3456153.2303999998</v>
      </c>
      <c r="G4" s="64">
        <f t="shared" ref="G4:G6" si="3">F4-$F$20</f>
        <v>-1313078.7696000002</v>
      </c>
      <c r="I4" s="69"/>
    </row>
    <row r="5" spans="1:9" x14ac:dyDescent="0.3">
      <c r="A5" s="65" t="s">
        <v>99</v>
      </c>
      <c r="B5" s="66">
        <v>4475.26</v>
      </c>
      <c r="C5" s="67">
        <f>D12*B15/1000</f>
        <v>31.86</v>
      </c>
      <c r="D5" s="67">
        <f t="shared" si="0"/>
        <v>279.09359999999998</v>
      </c>
      <c r="E5" s="66">
        <f t="shared" si="1"/>
        <v>1249016.4243359999</v>
      </c>
      <c r="F5" s="68">
        <f t="shared" si="2"/>
        <v>2498032.8486719998</v>
      </c>
      <c r="G5" s="64">
        <f t="shared" si="3"/>
        <v>-2271199.1513280002</v>
      </c>
      <c r="I5" s="69"/>
    </row>
    <row r="6" spans="1:9" ht="15" thickBot="1" x14ac:dyDescent="0.35">
      <c r="A6" s="70" t="s">
        <v>100</v>
      </c>
      <c r="B6" s="71">
        <v>4171.38</v>
      </c>
      <c r="C6" s="72">
        <f>E12*B15/1000</f>
        <v>28.08</v>
      </c>
      <c r="D6" s="72">
        <f t="shared" si="0"/>
        <v>245.98079999999999</v>
      </c>
      <c r="E6" s="71">
        <f t="shared" si="1"/>
        <v>1026079.389504</v>
      </c>
      <c r="F6" s="73">
        <f t="shared" si="2"/>
        <v>2052158.7790079999</v>
      </c>
      <c r="G6" s="64">
        <f t="shared" si="3"/>
        <v>-2717073.2209919998</v>
      </c>
    </row>
    <row r="7" spans="1:9" x14ac:dyDescent="0.3">
      <c r="A7" s="74"/>
      <c r="B7" s="74"/>
    </row>
    <row r="8" spans="1:9" ht="15" thickBot="1" x14ac:dyDescent="0.35">
      <c r="A8" s="74" t="s">
        <v>81</v>
      </c>
      <c r="B8" t="s">
        <v>101</v>
      </c>
    </row>
    <row r="9" spans="1:9" ht="15" thickBot="1" x14ac:dyDescent="0.35">
      <c r="A9" s="190" t="s">
        <v>102</v>
      </c>
      <c r="B9" s="191"/>
      <c r="C9" s="191"/>
      <c r="D9" s="191"/>
      <c r="E9" s="192"/>
    </row>
    <row r="10" spans="1:9" ht="15" thickBot="1" x14ac:dyDescent="0.35">
      <c r="A10" s="40" t="s">
        <v>103</v>
      </c>
      <c r="B10" s="19" t="s">
        <v>104</v>
      </c>
      <c r="C10" s="19" t="s">
        <v>105</v>
      </c>
      <c r="D10" s="19" t="s">
        <v>106</v>
      </c>
      <c r="E10" s="75" t="s">
        <v>107</v>
      </c>
    </row>
    <row r="11" spans="1:9" x14ac:dyDescent="0.3">
      <c r="A11" s="76" t="s">
        <v>108</v>
      </c>
      <c r="B11" s="77">
        <v>7.5</v>
      </c>
      <c r="C11" s="77">
        <v>6.5</v>
      </c>
      <c r="D11" s="77">
        <v>5.9</v>
      </c>
      <c r="E11" s="78">
        <v>5.2</v>
      </c>
    </row>
    <row r="12" spans="1:9" ht="15" thickBot="1" x14ac:dyDescent="0.35">
      <c r="A12" s="79" t="s">
        <v>124</v>
      </c>
      <c r="B12" s="35">
        <f>D30/1000</f>
        <v>5.2499999999999998E-2</v>
      </c>
      <c r="C12" s="35">
        <v>3.9E-2</v>
      </c>
      <c r="D12" s="35">
        <v>3.5400000000000001E-2</v>
      </c>
      <c r="E12" s="80">
        <v>3.1199999999999999E-2</v>
      </c>
    </row>
    <row r="13" spans="1:9" ht="15" thickBot="1" x14ac:dyDescent="0.35"/>
    <row r="14" spans="1:9" ht="15" thickBot="1" x14ac:dyDescent="0.35">
      <c r="A14" s="193" t="s">
        <v>109</v>
      </c>
      <c r="B14" s="194"/>
    </row>
    <row r="15" spans="1:9" ht="15" thickBot="1" x14ac:dyDescent="0.35">
      <c r="A15" s="81" t="s">
        <v>110</v>
      </c>
      <c r="B15" s="82">
        <f>D15*3600</f>
        <v>900000</v>
      </c>
      <c r="D15">
        <v>250</v>
      </c>
      <c r="E15" t="s">
        <v>8</v>
      </c>
    </row>
    <row r="17" spans="1:6" ht="15" thickBot="1" x14ac:dyDescent="0.35"/>
    <row r="18" spans="1:6" ht="15.6" x14ac:dyDescent="0.3">
      <c r="A18" s="195" t="s">
        <v>125</v>
      </c>
      <c r="B18" s="196"/>
      <c r="C18" s="196"/>
      <c r="D18" s="196"/>
      <c r="E18" s="196"/>
      <c r="F18" s="197"/>
    </row>
    <row r="19" spans="1:6" x14ac:dyDescent="0.3">
      <c r="A19" s="65" t="s">
        <v>91</v>
      </c>
      <c r="B19" s="59" t="s">
        <v>92</v>
      </c>
      <c r="C19" s="59" t="s">
        <v>111</v>
      </c>
      <c r="D19" s="59" t="s">
        <v>94</v>
      </c>
      <c r="E19" s="59" t="s">
        <v>95</v>
      </c>
      <c r="F19" s="60" t="s">
        <v>96</v>
      </c>
    </row>
    <row r="20" spans="1:6" ht="15" thickBot="1" x14ac:dyDescent="0.35">
      <c r="A20" s="70" t="s">
        <v>97</v>
      </c>
      <c r="B20" s="71">
        <v>1528.6</v>
      </c>
      <c r="C20" s="72">
        <v>30</v>
      </c>
      <c r="D20" s="72">
        <f>C20*52</f>
        <v>1560</v>
      </c>
      <c r="E20" s="71">
        <f>D20*B20</f>
        <v>2384616</v>
      </c>
      <c r="F20" s="73">
        <f>E20*2</f>
        <v>4769232</v>
      </c>
    </row>
    <row r="21" spans="1:6" ht="15" thickBot="1" x14ac:dyDescent="0.35"/>
    <row r="22" spans="1:6" x14ac:dyDescent="0.3">
      <c r="B22" s="84">
        <v>50</v>
      </c>
      <c r="C22" s="85" t="s">
        <v>113</v>
      </c>
      <c r="D22" s="86" t="s">
        <v>91</v>
      </c>
      <c r="E22" s="17"/>
    </row>
    <row r="23" spans="1:6" x14ac:dyDescent="0.3">
      <c r="B23" s="26">
        <f>0.7*B22</f>
        <v>35</v>
      </c>
      <c r="C23" s="15" t="s">
        <v>113</v>
      </c>
      <c r="D23" s="87" t="s">
        <v>39</v>
      </c>
      <c r="E23" s="17">
        <f>B22/450</f>
        <v>0.1111111111111111</v>
      </c>
      <c r="F23" t="s">
        <v>34</v>
      </c>
    </row>
    <row r="24" spans="1:6" x14ac:dyDescent="0.3">
      <c r="B24" s="26" t="s">
        <v>114</v>
      </c>
      <c r="C24" s="15">
        <v>5</v>
      </c>
      <c r="D24" s="87" t="s">
        <v>115</v>
      </c>
      <c r="E24" s="17"/>
    </row>
    <row r="25" spans="1:6" x14ac:dyDescent="0.3">
      <c r="B25" s="26"/>
      <c r="C25" s="15">
        <f>B23/C24</f>
        <v>7</v>
      </c>
      <c r="D25" s="87" t="s">
        <v>117</v>
      </c>
      <c r="E25" s="17"/>
    </row>
    <row r="26" spans="1:6" x14ac:dyDescent="0.3">
      <c r="B26" s="26"/>
      <c r="C26" s="15">
        <f>C25*1000</f>
        <v>7000</v>
      </c>
      <c r="D26" s="87" t="s">
        <v>118</v>
      </c>
      <c r="E26" s="17"/>
    </row>
    <row r="27" spans="1:6" ht="15" thickBot="1" x14ac:dyDescent="0.35">
      <c r="B27" s="33" t="s">
        <v>116</v>
      </c>
      <c r="C27" s="34">
        <f>C26</f>
        <v>7000</v>
      </c>
      <c r="D27" s="88" t="s">
        <v>14</v>
      </c>
      <c r="E27" s="17"/>
    </row>
    <row r="28" spans="1:6" ht="15" thickBot="1" x14ac:dyDescent="0.35">
      <c r="B28" s="17"/>
      <c r="C28" s="17"/>
      <c r="D28" s="17"/>
      <c r="E28" s="17"/>
    </row>
    <row r="29" spans="1:6" ht="15" thickBot="1" x14ac:dyDescent="0.35">
      <c r="B29" s="18" t="s">
        <v>119</v>
      </c>
      <c r="C29" s="90" t="s">
        <v>120</v>
      </c>
      <c r="D29" s="90" t="s">
        <v>121</v>
      </c>
      <c r="E29" s="91" t="s">
        <v>122</v>
      </c>
    </row>
    <row r="30" spans="1:6" x14ac:dyDescent="0.3">
      <c r="B30" s="21">
        <f>C27</f>
        <v>7000</v>
      </c>
      <c r="C30" s="23">
        <f>B11</f>
        <v>7.5</v>
      </c>
      <c r="D30" s="22">
        <f>(B30*C30)/E30</f>
        <v>52.5</v>
      </c>
      <c r="E30" s="89">
        <f>1000</f>
        <v>1000</v>
      </c>
    </row>
    <row r="31" spans="1:6" ht="15" thickBot="1" x14ac:dyDescent="0.35">
      <c r="B31" s="33"/>
      <c r="C31" s="34" t="s">
        <v>123</v>
      </c>
      <c r="D31" s="34" t="s">
        <v>14</v>
      </c>
      <c r="E31" s="88" t="s">
        <v>123</v>
      </c>
    </row>
    <row r="32" spans="1:6" x14ac:dyDescent="0.3">
      <c r="B32" s="17"/>
      <c r="C32" s="17"/>
      <c r="D32" s="17" t="s">
        <v>118</v>
      </c>
      <c r="E32" s="17"/>
    </row>
  </sheetData>
  <mergeCells count="4">
    <mergeCell ref="A1:F1"/>
    <mergeCell ref="A9:E9"/>
    <mergeCell ref="A14:B14"/>
    <mergeCell ref="A18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92D050"/>
  </sheetPr>
  <dimension ref="A1:J13"/>
  <sheetViews>
    <sheetView workbookViewId="0">
      <selection activeCell="C8" sqref="C8:C9"/>
    </sheetView>
  </sheetViews>
  <sheetFormatPr defaultRowHeight="14.4" x14ac:dyDescent="0.3"/>
  <cols>
    <col min="2" max="2" width="12.33203125" customWidth="1"/>
    <col min="5" max="5" width="13.5546875" customWidth="1"/>
    <col min="6" max="6" width="12" customWidth="1"/>
    <col min="9" max="9" width="16.6640625" customWidth="1"/>
    <col min="10" max="10" width="12.5546875" customWidth="1"/>
    <col min="11" max="11" width="15" customWidth="1"/>
  </cols>
  <sheetData>
    <row r="1" spans="1:10" ht="29.4" thickBot="1" x14ac:dyDescent="0.35">
      <c r="A1" s="53" t="s">
        <v>78</v>
      </c>
      <c r="B1" s="53" t="s">
        <v>79</v>
      </c>
      <c r="C1" s="53" t="s">
        <v>80</v>
      </c>
      <c r="D1" s="54" t="s">
        <v>81</v>
      </c>
      <c r="E1" s="55" t="s">
        <v>82</v>
      </c>
      <c r="F1" s="55" t="s">
        <v>83</v>
      </c>
      <c r="G1" s="53" t="s">
        <v>84</v>
      </c>
      <c r="H1" s="53" t="s">
        <v>85</v>
      </c>
      <c r="I1" s="53" t="s">
        <v>86</v>
      </c>
      <c r="J1" s="53" t="s">
        <v>87</v>
      </c>
    </row>
    <row r="2" spans="1:10" x14ac:dyDescent="0.3">
      <c r="A2" s="202" t="s">
        <v>88</v>
      </c>
      <c r="B2" s="202">
        <v>0</v>
      </c>
      <c r="C2" s="202">
        <v>222</v>
      </c>
      <c r="D2" s="200">
        <v>8.5</v>
      </c>
      <c r="E2" s="200"/>
      <c r="F2" s="200"/>
      <c r="G2" s="200"/>
      <c r="H2" s="200"/>
      <c r="I2" s="200"/>
      <c r="J2" s="198" t="s">
        <v>89</v>
      </c>
    </row>
    <row r="3" spans="1:10" ht="15" thickBot="1" x14ac:dyDescent="0.35">
      <c r="A3" s="203"/>
      <c r="B3" s="203"/>
      <c r="C3" s="203"/>
      <c r="D3" s="201"/>
      <c r="E3" s="201"/>
      <c r="F3" s="201"/>
      <c r="G3" s="201"/>
      <c r="H3" s="201"/>
      <c r="I3" s="201"/>
      <c r="J3" s="199"/>
    </row>
    <row r="4" spans="1:10" x14ac:dyDescent="0.3">
      <c r="A4" s="202">
        <v>2</v>
      </c>
      <c r="B4" s="202">
        <v>0.2</v>
      </c>
      <c r="C4" s="202">
        <v>42</v>
      </c>
      <c r="D4" s="200">
        <v>9.35</v>
      </c>
      <c r="E4" s="200">
        <v>620.71799999999996</v>
      </c>
      <c r="F4" s="200">
        <v>2.302</v>
      </c>
      <c r="G4" s="200">
        <v>31.09</v>
      </c>
      <c r="H4" s="200">
        <v>63.67</v>
      </c>
      <c r="I4" s="200">
        <f>G4*2-H4</f>
        <v>-1.490000000000002</v>
      </c>
      <c r="J4" s="198" t="str">
        <f>IF(I4&lt;0,"Underdose",IF(I4=0,"Otimum Dosage","Overdose"))</f>
        <v>Underdose</v>
      </c>
    </row>
    <row r="5" spans="1:10" ht="15" thickBot="1" x14ac:dyDescent="0.35">
      <c r="A5" s="203"/>
      <c r="B5" s="203"/>
      <c r="C5" s="203"/>
      <c r="D5" s="201"/>
      <c r="E5" s="201"/>
      <c r="F5" s="201"/>
      <c r="G5" s="201"/>
      <c r="H5" s="201"/>
      <c r="I5" s="201"/>
      <c r="J5" s="199"/>
    </row>
    <row r="6" spans="1:10" x14ac:dyDescent="0.3">
      <c r="A6" s="202">
        <v>3</v>
      </c>
      <c r="B6" s="202">
        <v>0.4</v>
      </c>
      <c r="C6" s="202">
        <v>31.5</v>
      </c>
      <c r="D6" s="200">
        <v>9.31</v>
      </c>
      <c r="E6" s="200">
        <v>632.25</v>
      </c>
      <c r="F6" s="200">
        <v>2.1349999999999998</v>
      </c>
      <c r="G6" s="200">
        <v>31.37</v>
      </c>
      <c r="H6" s="200">
        <v>63.04</v>
      </c>
      <c r="I6" s="200">
        <f>G6*2-H6</f>
        <v>-0.29999999999999716</v>
      </c>
      <c r="J6" s="198" t="str">
        <f>IF(I6&lt;0,"Underdose",IF(I6=0,"Otimum Dosage","Overdose"))</f>
        <v>Underdose</v>
      </c>
    </row>
    <row r="7" spans="1:10" ht="15" thickBot="1" x14ac:dyDescent="0.35">
      <c r="A7" s="203"/>
      <c r="B7" s="203"/>
      <c r="C7" s="203"/>
      <c r="D7" s="201"/>
      <c r="E7" s="201"/>
      <c r="F7" s="201"/>
      <c r="G7" s="201"/>
      <c r="H7" s="201"/>
      <c r="I7" s="201"/>
      <c r="J7" s="199"/>
    </row>
    <row r="8" spans="1:10" x14ac:dyDescent="0.3">
      <c r="A8" s="202">
        <v>4</v>
      </c>
      <c r="B8" s="202">
        <v>0.6</v>
      </c>
      <c r="C8" s="202">
        <v>5.45</v>
      </c>
      <c r="D8" s="200">
        <v>8.66</v>
      </c>
      <c r="E8" s="200">
        <v>636.09199999999998</v>
      </c>
      <c r="F8" s="200">
        <v>2.3540000000000001</v>
      </c>
      <c r="G8" s="200">
        <v>18.420000000000002</v>
      </c>
      <c r="H8" s="200">
        <v>76.89</v>
      </c>
      <c r="I8" s="200">
        <f>G8*2-H8</f>
        <v>-40.049999999999997</v>
      </c>
      <c r="J8" s="198" t="str">
        <f>IF(I8&lt;0,"Underdose",IF(I8=0,"Otimum Dosage","Overdose"))</f>
        <v>Underdose</v>
      </c>
    </row>
    <row r="9" spans="1:10" ht="15" thickBot="1" x14ac:dyDescent="0.35">
      <c r="A9" s="203"/>
      <c r="B9" s="203"/>
      <c r="C9" s="203"/>
      <c r="D9" s="201"/>
      <c r="E9" s="201"/>
      <c r="F9" s="201"/>
      <c r="G9" s="201"/>
      <c r="H9" s="201"/>
      <c r="I9" s="201"/>
      <c r="J9" s="199"/>
    </row>
    <row r="10" spans="1:10" x14ac:dyDescent="0.3">
      <c r="A10" s="202">
        <v>5</v>
      </c>
      <c r="B10" s="202">
        <v>0.8</v>
      </c>
      <c r="C10" s="202">
        <v>5.93</v>
      </c>
      <c r="D10" s="200">
        <v>8.9499999999999993</v>
      </c>
      <c r="E10" s="200">
        <v>630.327</v>
      </c>
      <c r="F10" s="200">
        <v>2.3530000000000002</v>
      </c>
      <c r="G10" s="200">
        <v>25.87</v>
      </c>
      <c r="H10" s="200">
        <v>58.8</v>
      </c>
      <c r="I10" s="200">
        <f>G10*2-H10</f>
        <v>-7.0599999999999952</v>
      </c>
      <c r="J10" s="198" t="str">
        <f>IF(I10&lt;0,"Underdose",IF(I10=0,"Otimum Dosage","Overdose"))</f>
        <v>Underdose</v>
      </c>
    </row>
    <row r="11" spans="1:10" ht="15" thickBot="1" x14ac:dyDescent="0.35">
      <c r="A11" s="203"/>
      <c r="B11" s="203"/>
      <c r="C11" s="203"/>
      <c r="D11" s="201"/>
      <c r="E11" s="201"/>
      <c r="F11" s="201"/>
      <c r="G11" s="201"/>
      <c r="H11" s="201"/>
      <c r="I11" s="201"/>
      <c r="J11" s="199"/>
    </row>
    <row r="12" spans="1:10" x14ac:dyDescent="0.3">
      <c r="A12" s="202">
        <v>6</v>
      </c>
      <c r="B12" s="202">
        <v>1</v>
      </c>
      <c r="C12" s="202">
        <v>27.5</v>
      </c>
      <c r="D12" s="200">
        <v>9.2899999999999991</v>
      </c>
      <c r="E12" s="200">
        <v>632.24900000000002</v>
      </c>
      <c r="F12" s="200">
        <v>2.3319999999999999</v>
      </c>
      <c r="G12" s="200">
        <v>34.39</v>
      </c>
      <c r="H12" s="200">
        <v>56.04</v>
      </c>
      <c r="I12" s="200">
        <f>G12*2-H12</f>
        <v>12.740000000000002</v>
      </c>
      <c r="J12" s="198" t="str">
        <f>IF(I12&lt;0,"Underdose",IF(I12=0,"Otimum Dosage","Overdose"))</f>
        <v>Overdose</v>
      </c>
    </row>
    <row r="13" spans="1:10" ht="15" thickBot="1" x14ac:dyDescent="0.35">
      <c r="A13" s="203"/>
      <c r="B13" s="203"/>
      <c r="C13" s="203"/>
      <c r="D13" s="201"/>
      <c r="E13" s="201"/>
      <c r="F13" s="201"/>
      <c r="G13" s="201"/>
      <c r="H13" s="201"/>
      <c r="I13" s="201"/>
      <c r="J13" s="199"/>
    </row>
  </sheetData>
  <mergeCells count="60">
    <mergeCell ref="J12:J13"/>
    <mergeCell ref="H12:H13"/>
    <mergeCell ref="I12:I13"/>
    <mergeCell ref="D10:D11"/>
    <mergeCell ref="E10:E11"/>
    <mergeCell ref="F12:F13"/>
    <mergeCell ref="E4:E5"/>
    <mergeCell ref="A10:A11"/>
    <mergeCell ref="B10:B11"/>
    <mergeCell ref="C10:C11"/>
    <mergeCell ref="A12:A13"/>
    <mergeCell ref="A8:A9"/>
    <mergeCell ref="B8:B9"/>
    <mergeCell ref="C8:C9"/>
    <mergeCell ref="D8:D9"/>
    <mergeCell ref="E8:E9"/>
    <mergeCell ref="G8:G9"/>
    <mergeCell ref="H8:H9"/>
    <mergeCell ref="I8:I9"/>
    <mergeCell ref="J8:J9"/>
    <mergeCell ref="F10:F11"/>
    <mergeCell ref="F8:F9"/>
    <mergeCell ref="J10:J11"/>
    <mergeCell ref="G2:G3"/>
    <mergeCell ref="H2:H3"/>
    <mergeCell ref="I2:I3"/>
    <mergeCell ref="J2:J3"/>
    <mergeCell ref="B12:B13"/>
    <mergeCell ref="C12:C13"/>
    <mergeCell ref="D12:D13"/>
    <mergeCell ref="E12:E13"/>
    <mergeCell ref="F2:F3"/>
    <mergeCell ref="G10:G11"/>
    <mergeCell ref="H10:H11"/>
    <mergeCell ref="I10:I11"/>
    <mergeCell ref="G6:G7"/>
    <mergeCell ref="H6:H7"/>
    <mergeCell ref="I6:I7"/>
    <mergeCell ref="G12:G13"/>
    <mergeCell ref="F6:F7"/>
    <mergeCell ref="F4:F5"/>
    <mergeCell ref="A2:A3"/>
    <mergeCell ref="B2:B3"/>
    <mergeCell ref="C2:C3"/>
    <mergeCell ref="D2:D3"/>
    <mergeCell ref="E2:E3"/>
    <mergeCell ref="A6:A7"/>
    <mergeCell ref="B6:B7"/>
    <mergeCell ref="C6:C7"/>
    <mergeCell ref="D6:D7"/>
    <mergeCell ref="E6:E7"/>
    <mergeCell ref="A4:A5"/>
    <mergeCell ref="B4:B5"/>
    <mergeCell ref="C4:C5"/>
    <mergeCell ref="D4:D5"/>
    <mergeCell ref="J6:J7"/>
    <mergeCell ref="G4:G5"/>
    <mergeCell ref="H4:H5"/>
    <mergeCell ref="I4:I5"/>
    <mergeCell ref="J4:J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499984740745262"/>
  </sheetPr>
  <dimension ref="A1:R28"/>
  <sheetViews>
    <sheetView zoomScaleNormal="100" workbookViewId="0">
      <selection activeCell="K39" sqref="K39"/>
    </sheetView>
  </sheetViews>
  <sheetFormatPr defaultRowHeight="14.4" x14ac:dyDescent="0.3"/>
  <cols>
    <col min="1" max="1" width="33.44140625" customWidth="1"/>
    <col min="2" max="2" width="15.44140625" customWidth="1"/>
    <col min="3" max="3" width="10.44140625" customWidth="1"/>
    <col min="4" max="4" width="13.44140625" customWidth="1"/>
    <col min="5" max="5" width="10.5546875" bestFit="1" customWidth="1"/>
    <col min="6" max="6" width="11.5546875" bestFit="1" customWidth="1"/>
    <col min="9" max="9" width="10.88671875" bestFit="1" customWidth="1"/>
    <col min="12" max="12" width="10.88671875" bestFit="1" customWidth="1"/>
    <col min="15" max="15" width="9.88671875" bestFit="1" customWidth="1"/>
  </cols>
  <sheetData>
    <row r="1" spans="1:18" ht="15" thickBot="1" x14ac:dyDescent="0.35">
      <c r="H1" s="204" t="s">
        <v>162</v>
      </c>
      <c r="I1" s="205"/>
      <c r="J1" s="205"/>
      <c r="K1" s="205"/>
      <c r="L1" s="205"/>
      <c r="M1" s="205"/>
      <c r="N1" s="205"/>
      <c r="O1" s="205"/>
      <c r="P1" s="206"/>
    </row>
    <row r="2" spans="1:18" ht="15" thickBot="1" x14ac:dyDescent="0.35">
      <c r="A2" s="108"/>
      <c r="B2" s="211" t="s">
        <v>45</v>
      </c>
      <c r="C2" s="212"/>
      <c r="D2" s="211" t="s">
        <v>44</v>
      </c>
      <c r="E2" s="212"/>
      <c r="H2" s="213" t="s">
        <v>137</v>
      </c>
      <c r="I2" s="209"/>
      <c r="J2" s="214"/>
      <c r="K2" s="208" t="s">
        <v>145</v>
      </c>
      <c r="L2" s="209"/>
      <c r="M2" s="214"/>
      <c r="N2" s="208" t="s">
        <v>146</v>
      </c>
      <c r="O2" s="209"/>
      <c r="P2" s="210"/>
    </row>
    <row r="3" spans="1:18" x14ac:dyDescent="0.3">
      <c r="A3" s="109"/>
      <c r="B3" s="96"/>
      <c r="C3" s="97" t="s">
        <v>46</v>
      </c>
      <c r="D3" s="96"/>
      <c r="E3" s="97" t="s">
        <v>46</v>
      </c>
      <c r="H3" s="76" t="s">
        <v>140</v>
      </c>
      <c r="I3" s="102">
        <v>0.68</v>
      </c>
      <c r="J3" s="44"/>
      <c r="K3" s="76" t="s">
        <v>140</v>
      </c>
      <c r="L3" s="102">
        <v>0.68</v>
      </c>
      <c r="M3" s="44"/>
      <c r="N3" s="76" t="s">
        <v>140</v>
      </c>
      <c r="O3" s="102">
        <v>0.9</v>
      </c>
      <c r="P3" s="44"/>
    </row>
    <row r="4" spans="1:18" x14ac:dyDescent="0.3">
      <c r="A4" s="109" t="s">
        <v>47</v>
      </c>
      <c r="B4" s="104">
        <f>60-B5</f>
        <v>38.714567374600598</v>
      </c>
      <c r="C4" s="97" t="s">
        <v>48</v>
      </c>
      <c r="D4" s="104">
        <f>60-D5</f>
        <v>35.699109215205695</v>
      </c>
      <c r="E4" s="97" t="s">
        <v>48</v>
      </c>
      <c r="H4" s="103" t="s">
        <v>141</v>
      </c>
      <c r="I4" s="10">
        <v>0.9</v>
      </c>
      <c r="J4" s="46"/>
      <c r="K4" s="103" t="s">
        <v>141</v>
      </c>
      <c r="L4" s="10">
        <v>0.9</v>
      </c>
      <c r="M4" s="46"/>
      <c r="N4" s="103" t="s">
        <v>141</v>
      </c>
      <c r="O4" s="10">
        <v>0.7</v>
      </c>
      <c r="P4" s="46"/>
    </row>
    <row r="5" spans="1:18" x14ac:dyDescent="0.3">
      <c r="A5" s="109" t="s">
        <v>49</v>
      </c>
      <c r="B5" s="104">
        <f>B7</f>
        <v>21.285432625399402</v>
      </c>
      <c r="C5" s="97" t="s">
        <v>48</v>
      </c>
      <c r="D5" s="104">
        <f>D7</f>
        <v>24.300890784794301</v>
      </c>
      <c r="E5" s="97" t="s">
        <v>48</v>
      </c>
      <c r="H5" s="103" t="s">
        <v>138</v>
      </c>
      <c r="I5" s="5">
        <f>345-(4*60+15)</f>
        <v>90</v>
      </c>
      <c r="J5" s="46" t="s">
        <v>139</v>
      </c>
      <c r="K5" s="103" t="s">
        <v>138</v>
      </c>
      <c r="L5" s="5">
        <v>82.2</v>
      </c>
      <c r="M5" s="46" t="s">
        <v>139</v>
      </c>
      <c r="N5" s="103" t="s">
        <v>138</v>
      </c>
      <c r="O5" s="5">
        <f>60*4+15</f>
        <v>255</v>
      </c>
      <c r="P5" s="46" t="s">
        <v>139</v>
      </c>
      <c r="Q5">
        <f>O5/60</f>
        <v>4.25</v>
      </c>
      <c r="R5" t="s">
        <v>174</v>
      </c>
    </row>
    <row r="6" spans="1:18" ht="15" thickBot="1" x14ac:dyDescent="0.35">
      <c r="A6" s="110" t="s">
        <v>50</v>
      </c>
      <c r="B6" s="98">
        <f>B4+B5</f>
        <v>60</v>
      </c>
      <c r="C6" s="105" t="s">
        <v>48</v>
      </c>
      <c r="D6" s="98">
        <f>D4+D5</f>
        <v>60</v>
      </c>
      <c r="E6" s="105" t="s">
        <v>48</v>
      </c>
      <c r="F6" s="215" t="s">
        <v>155</v>
      </c>
      <c r="G6" s="216"/>
      <c r="H6" s="103" t="s">
        <v>142</v>
      </c>
      <c r="I6" s="5">
        <f>(I4-I3)*$B$12</f>
        <v>4.3999999999999995</v>
      </c>
      <c r="J6" s="46" t="s">
        <v>7</v>
      </c>
      <c r="K6" s="103" t="s">
        <v>142</v>
      </c>
      <c r="L6" s="5">
        <f>(L4-L3)*$B$12</f>
        <v>4.3999999999999995</v>
      </c>
      <c r="M6" s="46" t="s">
        <v>7</v>
      </c>
      <c r="N6" s="103" t="s">
        <v>142</v>
      </c>
      <c r="O6" s="5">
        <f>(-O4+O3)*$B$12</f>
        <v>4.0000000000000018</v>
      </c>
      <c r="P6" s="46" t="s">
        <v>144</v>
      </c>
    </row>
    <row r="7" spans="1:18" ht="15.6" thickTop="1" thickBot="1" x14ac:dyDescent="0.35">
      <c r="A7" s="111" t="s">
        <v>149</v>
      </c>
      <c r="B7" s="112">
        <v>21.285432625399402</v>
      </c>
      <c r="C7" s="99" t="s">
        <v>48</v>
      </c>
      <c r="D7" s="112">
        <v>24.300890784794301</v>
      </c>
      <c r="E7" s="99" t="s">
        <v>48</v>
      </c>
      <c r="F7" s="3">
        <f>60-(D7+B7)</f>
        <v>14.4136765898063</v>
      </c>
      <c r="G7" t="s">
        <v>156</v>
      </c>
      <c r="H7" s="103" t="s">
        <v>143</v>
      </c>
      <c r="I7" s="94">
        <f>(I6/I5)*1000</f>
        <v>48.888888888888886</v>
      </c>
      <c r="J7" s="46" t="s">
        <v>8</v>
      </c>
      <c r="K7" s="103" t="s">
        <v>143</v>
      </c>
      <c r="L7" s="94">
        <f>(L6/L5)*1000</f>
        <v>53.527980535279795</v>
      </c>
      <c r="M7" s="46" t="s">
        <v>8</v>
      </c>
      <c r="N7" s="103" t="s">
        <v>143</v>
      </c>
      <c r="O7" s="94">
        <f>(O6/O5)*1000</f>
        <v>15.686274509803928</v>
      </c>
      <c r="P7" s="46" t="s">
        <v>8</v>
      </c>
    </row>
    <row r="8" spans="1:18" x14ac:dyDescent="0.3">
      <c r="A8" s="109" t="s">
        <v>153</v>
      </c>
      <c r="B8" s="131">
        <f>B7*I8</f>
        <v>62437.269034504905</v>
      </c>
      <c r="C8" s="107" t="s">
        <v>157</v>
      </c>
      <c r="D8" s="131">
        <f>D7*L8</f>
        <v>78046.65653510578</v>
      </c>
      <c r="E8" s="107" t="s">
        <v>172</v>
      </c>
      <c r="F8" s="115" t="s">
        <v>161</v>
      </c>
      <c r="H8" s="103"/>
      <c r="I8" s="132">
        <f>I7*60</f>
        <v>2933.333333333333</v>
      </c>
      <c r="J8" s="46" t="s">
        <v>147</v>
      </c>
      <c r="K8" s="103"/>
      <c r="L8" s="132">
        <f>L7*60</f>
        <v>3211.6788321167878</v>
      </c>
      <c r="M8" s="46" t="s">
        <v>147</v>
      </c>
      <c r="N8" s="103"/>
      <c r="O8" s="132">
        <f>O7*60</f>
        <v>941.1764705882357</v>
      </c>
      <c r="P8" s="46" t="s">
        <v>147</v>
      </c>
    </row>
    <row r="9" spans="1:18" ht="15" thickBot="1" x14ac:dyDescent="0.35">
      <c r="A9" s="109"/>
      <c r="B9" s="106">
        <f>B8/60</f>
        <v>1040.6211505750819</v>
      </c>
      <c r="C9" s="97" t="s">
        <v>147</v>
      </c>
      <c r="D9" s="106">
        <f>D8/60</f>
        <v>1300.7776089184297</v>
      </c>
      <c r="E9" s="97" t="s">
        <v>147</v>
      </c>
      <c r="F9" s="1">
        <f>D9/(D9+B9)</f>
        <v>0.55555577777781529</v>
      </c>
      <c r="H9" s="79"/>
      <c r="I9" s="133">
        <f>I8*60</f>
        <v>175999.99999999997</v>
      </c>
      <c r="J9" s="49" t="s">
        <v>148</v>
      </c>
      <c r="K9" s="79"/>
      <c r="L9" s="133">
        <f>L8*60</f>
        <v>192700.72992700728</v>
      </c>
      <c r="M9" s="49" t="s">
        <v>148</v>
      </c>
      <c r="N9" s="79"/>
      <c r="O9" s="133">
        <f>O8*60</f>
        <v>56470.588235294141</v>
      </c>
      <c r="P9" s="49" t="s">
        <v>148</v>
      </c>
    </row>
    <row r="10" spans="1:18" ht="15" thickBot="1" x14ac:dyDescent="0.35">
      <c r="A10" s="111" t="s">
        <v>154</v>
      </c>
      <c r="B10" s="113">
        <f>B8/Calculations!B5/1000</f>
        <v>4.3969907770778097E-2</v>
      </c>
      <c r="C10" s="99"/>
      <c r="D10" s="113">
        <f>D8/(Calculations!B5*1000)</f>
        <v>5.4962434179651957E-2</v>
      </c>
      <c r="E10" s="99"/>
    </row>
    <row r="11" spans="1:18" x14ac:dyDescent="0.3">
      <c r="D11" s="3"/>
    </row>
    <row r="12" spans="1:18" x14ac:dyDescent="0.3">
      <c r="A12" t="s">
        <v>51</v>
      </c>
      <c r="B12" s="116">
        <v>20</v>
      </c>
      <c r="C12" t="s">
        <v>7</v>
      </c>
      <c r="D12" s="3"/>
    </row>
    <row r="14" spans="1:18" x14ac:dyDescent="0.3">
      <c r="K14" s="207"/>
      <c r="L14" s="207"/>
    </row>
    <row r="15" spans="1:18" x14ac:dyDescent="0.3">
      <c r="B15" s="100" t="s">
        <v>150</v>
      </c>
      <c r="C15" s="100"/>
    </row>
    <row r="16" spans="1:18" x14ac:dyDescent="0.3">
      <c r="B16" s="100" t="s">
        <v>151</v>
      </c>
      <c r="C16" s="117">
        <f>(D9*D7)+(B9*B7)</f>
        <v>53760.125998764139</v>
      </c>
    </row>
    <row r="17" spans="1:13" x14ac:dyDescent="0.3">
      <c r="B17" s="100" t="s">
        <v>152</v>
      </c>
      <c r="C17" s="118">
        <f>O9</f>
        <v>56470.588235294141</v>
      </c>
    </row>
    <row r="19" spans="1:13" ht="15" thickBot="1" x14ac:dyDescent="0.35">
      <c r="B19" s="101" t="s">
        <v>158</v>
      </c>
      <c r="C19" s="101" t="s">
        <v>159</v>
      </c>
    </row>
    <row r="20" spans="1:13" x14ac:dyDescent="0.3">
      <c r="B20" s="119">
        <f>0.35*B12*1000</f>
        <v>7000</v>
      </c>
      <c r="C20" s="44">
        <v>0</v>
      </c>
    </row>
    <row r="21" spans="1:13" ht="28.8" x14ac:dyDescent="0.3">
      <c r="A21" s="114" t="s">
        <v>160</v>
      </c>
      <c r="B21" s="120">
        <f>B20+(L8*C21)-(O8*C21)</f>
        <v>62175.229914122901</v>
      </c>
      <c r="C21" s="121">
        <f>D7</f>
        <v>24.300890784794301</v>
      </c>
    </row>
    <row r="22" spans="1:13" x14ac:dyDescent="0.3">
      <c r="B22" s="120">
        <f>B21-(O8*C22)</f>
        <v>54638.663976722688</v>
      </c>
      <c r="C22" s="121">
        <f>F9*F7</f>
        <v>8.0076013084877271</v>
      </c>
    </row>
    <row r="23" spans="1:13" x14ac:dyDescent="0.3">
      <c r="B23" s="120">
        <f>B22+(I8*C23)-(O8*C23)</f>
        <v>97042.584657910498</v>
      </c>
      <c r="C23" s="121">
        <f>B7</f>
        <v>21.285432625399402</v>
      </c>
    </row>
    <row r="24" spans="1:13" ht="15" thickBot="1" x14ac:dyDescent="0.35">
      <c r="B24" s="124">
        <f>B23-(O8*C24)</f>
        <v>91013.337334316544</v>
      </c>
      <c r="C24" s="125">
        <f>F7-C22</f>
        <v>6.4060752813185733</v>
      </c>
      <c r="M24" s="4"/>
    </row>
    <row r="25" spans="1:13" x14ac:dyDescent="0.3">
      <c r="A25" s="126">
        <f>B20</f>
        <v>7000</v>
      </c>
      <c r="B25" s="119">
        <f>A25+(D9*C25)-(O8*C25)</f>
        <v>15738.627988649747</v>
      </c>
      <c r="C25" s="44">
        <v>24.30089078479428</v>
      </c>
    </row>
    <row r="26" spans="1:13" x14ac:dyDescent="0.3">
      <c r="B26" s="120">
        <f>B25-(O8*C26)</f>
        <v>8202.0620512495407</v>
      </c>
      <c r="C26" s="121">
        <v>8.0076013084877165</v>
      </c>
    </row>
    <row r="27" spans="1:13" x14ac:dyDescent="0.3">
      <c r="B27" s="120">
        <f>B26+(B9*C27)-(O8*C27)</f>
        <v>10318.78508706396</v>
      </c>
      <c r="C27" s="121">
        <v>21.285432625399427</v>
      </c>
    </row>
    <row r="28" spans="1:13" ht="15" thickBot="1" x14ac:dyDescent="0.35">
      <c r="B28" s="122">
        <f>B27-(O8*C28)</f>
        <v>4289.5377634700026</v>
      </c>
      <c r="C28" s="123">
        <v>6.4060752813185768</v>
      </c>
    </row>
  </sheetData>
  <mergeCells count="8">
    <mergeCell ref="H1:P1"/>
    <mergeCell ref="K14:L14"/>
    <mergeCell ref="N2:P2"/>
    <mergeCell ref="B2:C2"/>
    <mergeCell ref="D2:E2"/>
    <mergeCell ref="H2:J2"/>
    <mergeCell ref="K2:M2"/>
    <mergeCell ref="F6:G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>
      <selection activeCell="D28" sqref="D2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Station Performance</vt:lpstr>
      <vt:lpstr>Calculations</vt:lpstr>
      <vt:lpstr>Desludging - operator inputs</vt:lpstr>
      <vt:lpstr>Flowrates</vt:lpstr>
      <vt:lpstr>Lime feed</vt:lpstr>
      <vt:lpstr>Lime dose</vt:lpstr>
      <vt:lpstr>Jar test</vt:lpstr>
      <vt:lpstr>Desulging 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2023-02-05T09:54:55Z</dcterms:modified>
</cp:coreProperties>
</file>